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Raw" sheetId="4" state="visible" r:id="rId4"/>
    <sheet xmlns:r="http://schemas.openxmlformats.org/officeDocument/2006/relationships" name="Failures" sheetId="5" state="visible" r:id="rId5"/>
    <sheet xmlns:r="http://schemas.openxmlformats.org/officeDocument/2006/relationships" name="Health" sheetId="6" state="visible" r:id="rId6"/>
    <sheet xmlns:r="http://schemas.openxmlformats.org/officeDocument/2006/relationships" name="Month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1F2937"/>
      <sz val="11"/>
    </font>
    <font>
      <i val="1"/>
      <color rgb="006B72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center" wrapText="1"/>
    </xf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4">
    <dxf>
      <font>
        <b val="1"/>
        <color rgb="00047857"/>
      </font>
    </dxf>
    <dxf>
      <font>
        <b val="1"/>
        <color rgb="00B91C1C"/>
      </font>
    </dxf>
    <dxf>
      <font>
        <b val="1"/>
        <color rgb="00B91C1C"/>
      </font>
      <fill>
        <patternFill patternType="solid">
          <fgColor rgb="00FEE2E2"/>
        </patternFill>
      </fill>
    </dxf>
    <dxf>
      <font>
        <color rgb="0004785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SOCIAL FOLLOWER TRACKER — NASADENIE (15 min)</t>
        </is>
      </c>
    </row>
    <row r="2">
      <c r="A2" t="inlineStr"/>
    </row>
    <row r="3">
      <c r="A3" t="inlineStr">
        <is>
          <t>1. Nahraj tento súbor do Google Drive a otvor ho cez Google Sheets</t>
        </is>
      </c>
    </row>
    <row r="4">
      <c r="A4" s="2" t="inlineStr">
        <is>
          <t xml:space="preserve">   (alebo v existujúcom Sheet-e: File → Import → Upload → Replace spreadsheet)</t>
        </is>
      </c>
    </row>
    <row r="5">
      <c r="A5" t="inlineStr">
        <is>
          <t>2. Skontroluj, že listy sa volajú presne: Dashboard, Accounts, Raw, Failures, Health, Monthly</t>
        </is>
      </c>
    </row>
    <row r="6">
      <c r="A6" t="inlineStr">
        <is>
          <t>3. V Accounts nahraď ukážkové účty svojimi a nastav enabled = TRUE</t>
        </is>
      </c>
    </row>
    <row r="7">
      <c r="A7" s="3" t="inlineStr">
        <is>
          <t>4. ZMAŽ ukážkové dáta v Raw (riadky 2 až 9) – slúžili len na ukážku vzorcov</t>
        </is>
      </c>
    </row>
    <row r="8">
      <c r="A8" t="inlineStr">
        <is>
          <t>5. Extensions → Apps Script → vlož kód zo social_tracker_v3.gs → doplni APIFY_TOKEN → Run setup()</t>
        </is>
      </c>
    </row>
    <row r="9">
      <c r="A9" t="inlineStr">
        <is>
          <t>6. Pridaj 3 tlačidlá na Dashboard (Insert → Drawing → Assign script):</t>
        </is>
      </c>
    </row>
    <row r="10">
      <c r="A10" s="2" t="inlineStr">
        <is>
          <t xml:space="preserve">   btnScrapeToday = dnešný deň | btnBackfillDate = dátum z Dashboard!B4 | btnRebuildSummary = mesačné súčty</t>
        </is>
      </c>
    </row>
    <row r="11">
      <c r="A11" t="inlineStr">
        <is>
          <t>7. Prvý test: klikni ▶ Scrape today → do 30 s pribudnú riadky v Raw a Daily Overview sa prepíše naživo</t>
        </is>
      </c>
    </row>
    <row r="12">
      <c r="A12" t="inlineStr"/>
    </row>
    <row r="13">
      <c r="A13" s="3" t="inlineStr">
        <is>
          <t>DENNÝ PREHĽAD = Dashboard (tabuľka pod riadkom 12 sa počíta sama z Raw):</t>
        </is>
      </c>
    </row>
    <row r="14">
      <c r="A14" s="2" t="inlineStr">
        <is>
          <t xml:space="preserve">   last_date = posledný úspešný scrape · followers = počet v ten deň</t>
        </is>
      </c>
    </row>
    <row r="15">
      <c r="A15" s="2" t="inlineStr">
        <is>
          <t xml:space="preserve">   prev_day = deň predtým · Δ abs / Δ % = denný nárast (zelená = rast, červená = pokles)</t>
        </is>
      </c>
    </row>
    <row r="16">
      <c r="A16" s="2" t="inlineStr">
        <is>
          <t>Dashboard!B2 = stav posledného behu · Dashboard!B9 = health sumár · Health list = detail účtov</t>
        </is>
      </c>
    </row>
    <row r="17">
      <c r="A17" s="2" t="inlineStr">
        <is>
          <t>Failures = čo treba backfill-núť (dátum do B4 → BACKFILL tlačidlo)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2" customWidth="1" min="4" max="4"/>
    <col width="12" customWidth="1" min="5" max="5"/>
    <col width="14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SOCIAL FOLLOWER TRACKER — DAILY OVERVIEW</t>
        </is>
      </c>
    </row>
    <row r="2">
      <c r="A2" s="3" t="inlineStr">
        <is>
          <t>Last run:</t>
        </is>
      </c>
      <c r="B2" t="inlineStr">
        <is>
          <t>(waiting for first scrape)</t>
        </is>
      </c>
    </row>
    <row r="4">
      <c r="A4" s="3" t="inlineStr">
        <is>
          <t>Backfill date (yyyy-MM-dd):</t>
        </is>
      </c>
      <c r="B4" t="inlineStr"/>
      <c r="C4" s="2" t="inlineStr">
        <is>
          <t>← put a past date here, then click the BACKFILL button</t>
        </is>
      </c>
    </row>
    <row r="6">
      <c r="A6" s="2" t="inlineStr">
        <is>
          <t>Buttons: Insert → Drawing → Assign script → btnScrapeToday | btnBackfillDate | btnRebuildSummary</t>
        </is>
      </c>
    </row>
    <row r="7">
      <c r="A7" s="2" t="inlineStr">
        <is>
          <t>Scheduled: daily scrape 22:00 · weekly accounts if 6+ days since last record · monthly summary 1st 22:30</t>
        </is>
      </c>
    </row>
    <row r="9">
      <c r="A9" s="3" t="inlineStr">
        <is>
          <t>Health:</t>
        </is>
      </c>
      <c r="B9" t="inlineStr">
        <is>
          <t>(auto check after each run)</t>
        </is>
      </c>
    </row>
    <row r="11">
      <c r="A11" s="3" t="inlineStr">
        <is>
          <t>DAILY OVERVIEW — newest record per account, day-over-day change (auto)</t>
        </is>
      </c>
    </row>
    <row r="12">
      <c r="A12" s="4" t="inlineStr">
        <is>
          <t>brand</t>
        </is>
      </c>
      <c r="B12" s="4" t="inlineStr">
        <is>
          <t>platform</t>
        </is>
      </c>
      <c r="C12" s="4" t="inlineStr">
        <is>
          <t>account_label</t>
        </is>
      </c>
      <c r="D12" s="4" t="inlineStr">
        <is>
          <t>username</t>
        </is>
      </c>
      <c r="E12" s="4" t="inlineStr">
        <is>
          <t>last_date</t>
        </is>
      </c>
      <c r="F12" s="4" t="inlineStr">
        <is>
          <t>followers</t>
        </is>
      </c>
      <c r="G12" s="4" t="inlineStr">
        <is>
          <t>prev_day</t>
        </is>
      </c>
      <c r="H12" s="4" t="inlineStr">
        <is>
          <t>Δ abs</t>
        </is>
      </c>
      <c r="I12" s="4" t="inlineStr">
        <is>
          <t>Δ %</t>
        </is>
      </c>
    </row>
    <row r="13">
      <c r="A13">
        <f>IF(Accounts!$A2=TRUE,Accounts!$D2,"")</f>
        <v/>
      </c>
      <c r="B13">
        <f>IF($A13="","",Accounts!$B2)</f>
        <v/>
      </c>
      <c r="C13">
        <f>IF($A13="","",Accounts!$E2)</f>
        <v/>
      </c>
      <c r="D13">
        <f>IF($A13="","",Accounts!$C2)</f>
        <v/>
      </c>
      <c r="E13">
        <f>IF($A13="","",IFERROR(INDEX(FILTER(Raw!$A$2:$A,Raw!$B$2:$B=$B13,Raw!$C$2:$C=$D13),COUNT(FILTER(Raw!$F$2:$F,Raw!$B$2:$B=$B13,Raw!$C$2:$C=$D13))),"missing"))</f>
        <v/>
      </c>
      <c r="F13" s="5">
        <f>IF($A13="","",IFERROR(INDEX(FILTER(Raw!$F$2:$F,Raw!$B$2:$B=$B13,Raw!$C$2:$C=$D13),COUNT(FILTER(Raw!$F$2:$F,Raw!$B$2:$B=$B13,Raw!$C$2:$C=$D13))),""))</f>
        <v/>
      </c>
      <c r="G13" s="5">
        <f>IF($A13="","",IFERROR(INDEX(FILTER(Raw!$F$2:$F,Raw!$B$2:$B=$B13,Raw!$C$2:$C=$D13),COUNT(FILTER(Raw!$F$2:$F,Raw!$B$2:$B=$B13,Raw!$C$2:$C=$D13))-1),""))</f>
        <v/>
      </c>
      <c r="H13" s="5">
        <f>IF(OR($F13="",$G13=""),"",$F13-$G13)</f>
        <v/>
      </c>
      <c r="I13" s="6">
        <f>IF(OR($F13="",$G13=""),"",ROUND(($F13-$G13)/$G13*100,2))</f>
        <v/>
      </c>
    </row>
    <row r="14">
      <c r="A14">
        <f>IF(Accounts!$A3=TRUE,Accounts!$D3,"")</f>
        <v/>
      </c>
      <c r="B14">
        <f>IF($A14="","",Accounts!$B3)</f>
        <v/>
      </c>
      <c r="C14">
        <f>IF($A14="","",Accounts!$E3)</f>
        <v/>
      </c>
      <c r="D14">
        <f>IF($A14="","",Accounts!$C3)</f>
        <v/>
      </c>
      <c r="E14">
        <f>IF($A14="","",IFERROR(INDEX(FILTER(Raw!$A$2:$A,Raw!$B$2:$B=$B14,Raw!$C$2:$C=$D14),COUNT(FILTER(Raw!$F$2:$F,Raw!$B$2:$B=$B14,Raw!$C$2:$C=$D14))),"missing"))</f>
        <v/>
      </c>
      <c r="F14" s="5">
        <f>IF($A14="","",IFERROR(INDEX(FILTER(Raw!$F$2:$F,Raw!$B$2:$B=$B14,Raw!$C$2:$C=$D14),COUNT(FILTER(Raw!$F$2:$F,Raw!$B$2:$B=$B14,Raw!$C$2:$C=$D14))),""))</f>
        <v/>
      </c>
      <c r="G14" s="5">
        <f>IF($A14="","",IFERROR(INDEX(FILTER(Raw!$F$2:$F,Raw!$B$2:$B=$B14,Raw!$C$2:$C=$D14),COUNT(FILTER(Raw!$F$2:$F,Raw!$B$2:$B=$B14,Raw!$C$2:$C=$D14))-1),""))</f>
        <v/>
      </c>
      <c r="H14" s="5">
        <f>IF(OR($F14="",$G14=""),"",$F14-$G14)</f>
        <v/>
      </c>
      <c r="I14" s="6">
        <f>IF(OR($F14="",$G14=""),"",ROUND(($F14-$G14)/$G14*100,2))</f>
        <v/>
      </c>
    </row>
    <row r="15">
      <c r="A15">
        <f>IF(Accounts!$A4=TRUE,Accounts!$D4,"")</f>
        <v/>
      </c>
      <c r="B15">
        <f>IF($A15="","",Accounts!$B4)</f>
        <v/>
      </c>
      <c r="C15">
        <f>IF($A15="","",Accounts!$E4)</f>
        <v/>
      </c>
      <c r="D15">
        <f>IF($A15="","",Accounts!$C4)</f>
        <v/>
      </c>
      <c r="E15">
        <f>IF($A15="","",IFERROR(INDEX(FILTER(Raw!$A$2:$A,Raw!$B$2:$B=$B15,Raw!$C$2:$C=$D15),COUNT(FILTER(Raw!$F$2:$F,Raw!$B$2:$B=$B15,Raw!$C$2:$C=$D15))),"missing"))</f>
        <v/>
      </c>
      <c r="F15" s="5">
        <f>IF($A15="","",IFERROR(INDEX(FILTER(Raw!$F$2:$F,Raw!$B$2:$B=$B15,Raw!$C$2:$C=$D15),COUNT(FILTER(Raw!$F$2:$F,Raw!$B$2:$B=$B15,Raw!$C$2:$C=$D15))),""))</f>
        <v/>
      </c>
      <c r="G15" s="5">
        <f>IF($A15="","",IFERROR(INDEX(FILTER(Raw!$F$2:$F,Raw!$B$2:$B=$B15,Raw!$C$2:$C=$D15),COUNT(FILTER(Raw!$F$2:$F,Raw!$B$2:$B=$B15,Raw!$C$2:$C=$D15))-1),""))</f>
        <v/>
      </c>
      <c r="H15" s="5">
        <f>IF(OR($F15="",$G15=""),"",$F15-$G15)</f>
        <v/>
      </c>
      <c r="I15" s="6">
        <f>IF(OR($F15="",$G15=""),"",ROUND(($F15-$G15)/$G15*100,2))</f>
        <v/>
      </c>
    </row>
    <row r="16">
      <c r="A16">
        <f>IF(Accounts!$A5=TRUE,Accounts!$D5,"")</f>
        <v/>
      </c>
      <c r="B16">
        <f>IF($A16="","",Accounts!$B5)</f>
        <v/>
      </c>
      <c r="C16">
        <f>IF($A16="","",Accounts!$E5)</f>
        <v/>
      </c>
      <c r="D16">
        <f>IF($A16="","",Accounts!$C5)</f>
        <v/>
      </c>
      <c r="E16">
        <f>IF($A16="","",IFERROR(INDEX(FILTER(Raw!$A$2:$A,Raw!$B$2:$B=$B16,Raw!$C$2:$C=$D16),COUNT(FILTER(Raw!$F$2:$F,Raw!$B$2:$B=$B16,Raw!$C$2:$C=$D16))),"missing"))</f>
        <v/>
      </c>
      <c r="F16" s="5">
        <f>IF($A16="","",IFERROR(INDEX(FILTER(Raw!$F$2:$F,Raw!$B$2:$B=$B16,Raw!$C$2:$C=$D16),COUNT(FILTER(Raw!$F$2:$F,Raw!$B$2:$B=$B16,Raw!$C$2:$C=$D16))),""))</f>
        <v/>
      </c>
      <c r="G16" s="5">
        <f>IF($A16="","",IFERROR(INDEX(FILTER(Raw!$F$2:$F,Raw!$B$2:$B=$B16,Raw!$C$2:$C=$D16),COUNT(FILTER(Raw!$F$2:$F,Raw!$B$2:$B=$B16,Raw!$C$2:$C=$D16))-1),""))</f>
        <v/>
      </c>
      <c r="H16" s="5">
        <f>IF(OR($F16="",$G16=""),"",$F16-$G16)</f>
        <v/>
      </c>
      <c r="I16" s="6">
        <f>IF(OR($F16="",$G16=""),"",ROUND(($F16-$G16)/$G16*100,2))</f>
        <v/>
      </c>
    </row>
    <row r="17">
      <c r="A17">
        <f>IF(Accounts!$A6=TRUE,Accounts!$D6,"")</f>
        <v/>
      </c>
      <c r="B17">
        <f>IF($A17="","",Accounts!$B6)</f>
        <v/>
      </c>
      <c r="C17">
        <f>IF($A17="","",Accounts!$E6)</f>
        <v/>
      </c>
      <c r="D17">
        <f>IF($A17="","",Accounts!$C6)</f>
        <v/>
      </c>
      <c r="E17">
        <f>IF($A17="","",IFERROR(INDEX(FILTER(Raw!$A$2:$A,Raw!$B$2:$B=$B17,Raw!$C$2:$C=$D17),COUNT(FILTER(Raw!$F$2:$F,Raw!$B$2:$B=$B17,Raw!$C$2:$C=$D17))),"missing"))</f>
        <v/>
      </c>
      <c r="F17" s="5">
        <f>IF($A17="","",IFERROR(INDEX(FILTER(Raw!$F$2:$F,Raw!$B$2:$B=$B17,Raw!$C$2:$C=$D17),COUNT(FILTER(Raw!$F$2:$F,Raw!$B$2:$B=$B17,Raw!$C$2:$C=$D17))),""))</f>
        <v/>
      </c>
      <c r="G17" s="5">
        <f>IF($A17="","",IFERROR(INDEX(FILTER(Raw!$F$2:$F,Raw!$B$2:$B=$B17,Raw!$C$2:$C=$D17),COUNT(FILTER(Raw!$F$2:$F,Raw!$B$2:$B=$B17,Raw!$C$2:$C=$D17))-1),""))</f>
        <v/>
      </c>
      <c r="H17" s="5">
        <f>IF(OR($F17="",$G17=""),"",$F17-$G17)</f>
        <v/>
      </c>
      <c r="I17" s="6">
        <f>IF(OR($F17="",$G17=""),"",ROUND(($F17-$G17)/$G17*100,2))</f>
        <v/>
      </c>
    </row>
    <row r="18">
      <c r="A18">
        <f>IF(Accounts!$A7=TRUE,Accounts!$D7,"")</f>
        <v/>
      </c>
      <c r="B18">
        <f>IF($A18="","",Accounts!$B7)</f>
        <v/>
      </c>
      <c r="C18">
        <f>IF($A18="","",Accounts!$E7)</f>
        <v/>
      </c>
      <c r="D18">
        <f>IF($A18="","",Accounts!$C7)</f>
        <v/>
      </c>
      <c r="E18">
        <f>IF($A18="","",IFERROR(INDEX(FILTER(Raw!$A$2:$A,Raw!$B$2:$B=$B18,Raw!$C$2:$C=$D18),COUNT(FILTER(Raw!$F$2:$F,Raw!$B$2:$B=$B18,Raw!$C$2:$C=$D18))),"missing"))</f>
        <v/>
      </c>
      <c r="F18" s="5">
        <f>IF($A18="","",IFERROR(INDEX(FILTER(Raw!$F$2:$F,Raw!$B$2:$B=$B18,Raw!$C$2:$C=$D18),COUNT(FILTER(Raw!$F$2:$F,Raw!$B$2:$B=$B18,Raw!$C$2:$C=$D18))),""))</f>
        <v/>
      </c>
      <c r="G18" s="5">
        <f>IF($A18="","",IFERROR(INDEX(FILTER(Raw!$F$2:$F,Raw!$B$2:$B=$B18,Raw!$C$2:$C=$D18),COUNT(FILTER(Raw!$F$2:$F,Raw!$B$2:$B=$B18,Raw!$C$2:$C=$D18))-1),""))</f>
        <v/>
      </c>
      <c r="H18" s="5">
        <f>IF(OR($F18="",$G18=""),"",$F18-$G18)</f>
        <v/>
      </c>
      <c r="I18" s="6">
        <f>IF(OR($F18="",$G18=""),"",ROUND(($F18-$G18)/$G18*100,2))</f>
        <v/>
      </c>
    </row>
    <row r="19">
      <c r="A19">
        <f>IF(Accounts!$A8=TRUE,Accounts!$D8,"")</f>
        <v/>
      </c>
      <c r="B19">
        <f>IF($A19="","",Accounts!$B8)</f>
        <v/>
      </c>
      <c r="C19">
        <f>IF($A19="","",Accounts!$E8)</f>
        <v/>
      </c>
      <c r="D19">
        <f>IF($A19="","",Accounts!$C8)</f>
        <v/>
      </c>
      <c r="E19">
        <f>IF($A19="","",IFERROR(INDEX(FILTER(Raw!$A$2:$A,Raw!$B$2:$B=$B19,Raw!$C$2:$C=$D19),COUNT(FILTER(Raw!$F$2:$F,Raw!$B$2:$B=$B19,Raw!$C$2:$C=$D19))),"missing"))</f>
        <v/>
      </c>
      <c r="F19" s="5">
        <f>IF($A19="","",IFERROR(INDEX(FILTER(Raw!$F$2:$F,Raw!$B$2:$B=$B19,Raw!$C$2:$C=$D19),COUNT(FILTER(Raw!$F$2:$F,Raw!$B$2:$B=$B19,Raw!$C$2:$C=$D19))),""))</f>
        <v/>
      </c>
      <c r="G19" s="5">
        <f>IF($A19="","",IFERROR(INDEX(FILTER(Raw!$F$2:$F,Raw!$B$2:$B=$B19,Raw!$C$2:$C=$D19),COUNT(FILTER(Raw!$F$2:$F,Raw!$B$2:$B=$B19,Raw!$C$2:$C=$D19))-1),""))</f>
        <v/>
      </c>
      <c r="H19" s="5">
        <f>IF(OR($F19="",$G19=""),"",$F19-$G19)</f>
        <v/>
      </c>
      <c r="I19" s="6">
        <f>IF(OR($F19="",$G19=""),"",ROUND(($F19-$G19)/$G19*100,2))</f>
        <v/>
      </c>
    </row>
    <row r="20">
      <c r="A20">
        <f>IF(Accounts!$A9=TRUE,Accounts!$D9,"")</f>
        <v/>
      </c>
      <c r="B20">
        <f>IF($A20="","",Accounts!$B9)</f>
        <v/>
      </c>
      <c r="C20">
        <f>IF($A20="","",Accounts!$E9)</f>
        <v/>
      </c>
      <c r="D20">
        <f>IF($A20="","",Accounts!$C9)</f>
        <v/>
      </c>
      <c r="E20">
        <f>IF($A20="","",IFERROR(INDEX(FILTER(Raw!$A$2:$A,Raw!$B$2:$B=$B20,Raw!$C$2:$C=$D20),COUNT(FILTER(Raw!$F$2:$F,Raw!$B$2:$B=$B20,Raw!$C$2:$C=$D20))),"missing"))</f>
        <v/>
      </c>
      <c r="F20" s="5">
        <f>IF($A20="","",IFERROR(INDEX(FILTER(Raw!$F$2:$F,Raw!$B$2:$B=$B20,Raw!$C$2:$C=$D20),COUNT(FILTER(Raw!$F$2:$F,Raw!$B$2:$B=$B20,Raw!$C$2:$C=$D20))),""))</f>
        <v/>
      </c>
      <c r="G20" s="5">
        <f>IF($A20="","",IFERROR(INDEX(FILTER(Raw!$F$2:$F,Raw!$B$2:$B=$B20,Raw!$C$2:$C=$D20),COUNT(FILTER(Raw!$F$2:$F,Raw!$B$2:$B=$B20,Raw!$C$2:$C=$D20))-1),""))</f>
        <v/>
      </c>
      <c r="H20" s="5">
        <f>IF(OR($F20="",$G20=""),"",$F20-$G20)</f>
        <v/>
      </c>
      <c r="I20" s="6">
        <f>IF(OR($F20="",$G20=""),"",ROUND(($F20-$G20)/$G20*100,2))</f>
        <v/>
      </c>
    </row>
    <row r="21">
      <c r="A21">
        <f>IF(Accounts!$A10=TRUE,Accounts!$D10,"")</f>
        <v/>
      </c>
      <c r="B21">
        <f>IF($A21="","",Accounts!$B10)</f>
        <v/>
      </c>
      <c r="C21">
        <f>IF($A21="","",Accounts!$E10)</f>
        <v/>
      </c>
      <c r="D21">
        <f>IF($A21="","",Accounts!$C10)</f>
        <v/>
      </c>
      <c r="E21">
        <f>IF($A21="","",IFERROR(INDEX(FILTER(Raw!$A$2:$A,Raw!$B$2:$B=$B21,Raw!$C$2:$C=$D21),COUNT(FILTER(Raw!$F$2:$F,Raw!$B$2:$B=$B21,Raw!$C$2:$C=$D21))),"missing"))</f>
        <v/>
      </c>
      <c r="F21" s="5">
        <f>IF($A21="","",IFERROR(INDEX(FILTER(Raw!$F$2:$F,Raw!$B$2:$B=$B21,Raw!$C$2:$C=$D21),COUNT(FILTER(Raw!$F$2:$F,Raw!$B$2:$B=$B21,Raw!$C$2:$C=$D21))),""))</f>
        <v/>
      </c>
      <c r="G21" s="5">
        <f>IF($A21="","",IFERROR(INDEX(FILTER(Raw!$F$2:$F,Raw!$B$2:$B=$B21,Raw!$C$2:$C=$D21),COUNT(FILTER(Raw!$F$2:$F,Raw!$B$2:$B=$B21,Raw!$C$2:$C=$D21))-1),""))</f>
        <v/>
      </c>
      <c r="H21" s="5">
        <f>IF(OR($F21="",$G21=""),"",$F21-$G21)</f>
        <v/>
      </c>
      <c r="I21" s="6">
        <f>IF(OR($F21="",$G21=""),"",ROUND(($F21-$G21)/$G21*100,2))</f>
        <v/>
      </c>
    </row>
    <row r="22">
      <c r="A22">
        <f>IF(Accounts!$A11=TRUE,Accounts!$D11,"")</f>
        <v/>
      </c>
      <c r="B22">
        <f>IF($A22="","",Accounts!$B11)</f>
        <v/>
      </c>
      <c r="C22">
        <f>IF($A22="","",Accounts!$E11)</f>
        <v/>
      </c>
      <c r="D22">
        <f>IF($A22="","",Accounts!$C11)</f>
        <v/>
      </c>
      <c r="E22">
        <f>IF($A22="","",IFERROR(INDEX(FILTER(Raw!$A$2:$A,Raw!$B$2:$B=$B22,Raw!$C$2:$C=$D22),COUNT(FILTER(Raw!$F$2:$F,Raw!$B$2:$B=$B22,Raw!$C$2:$C=$D22))),"missing"))</f>
        <v/>
      </c>
      <c r="F22" s="5">
        <f>IF($A22="","",IFERROR(INDEX(FILTER(Raw!$F$2:$F,Raw!$B$2:$B=$B22,Raw!$C$2:$C=$D22),COUNT(FILTER(Raw!$F$2:$F,Raw!$B$2:$B=$B22,Raw!$C$2:$C=$D22))),""))</f>
        <v/>
      </c>
      <c r="G22" s="5">
        <f>IF($A22="","",IFERROR(INDEX(FILTER(Raw!$F$2:$F,Raw!$B$2:$B=$B22,Raw!$C$2:$C=$D22),COUNT(FILTER(Raw!$F$2:$F,Raw!$B$2:$B=$B22,Raw!$C$2:$C=$D22))-1),""))</f>
        <v/>
      </c>
      <c r="H22" s="5">
        <f>IF(OR($F22="",$G22=""),"",$F22-$G22)</f>
        <v/>
      </c>
      <c r="I22" s="6">
        <f>IF(OR($F22="",$G22=""),"",ROUND(($F22-$G22)/$G22*100,2))</f>
        <v/>
      </c>
    </row>
    <row r="23">
      <c r="A23">
        <f>IF(Accounts!$A12=TRUE,Accounts!$D12,"")</f>
        <v/>
      </c>
      <c r="B23">
        <f>IF($A23="","",Accounts!$B12)</f>
        <v/>
      </c>
      <c r="C23">
        <f>IF($A23="","",Accounts!$E12)</f>
        <v/>
      </c>
      <c r="D23">
        <f>IF($A23="","",Accounts!$C12)</f>
        <v/>
      </c>
      <c r="E23">
        <f>IF($A23="","",IFERROR(INDEX(FILTER(Raw!$A$2:$A,Raw!$B$2:$B=$B23,Raw!$C$2:$C=$D23),COUNT(FILTER(Raw!$F$2:$F,Raw!$B$2:$B=$B23,Raw!$C$2:$C=$D23))),"missing"))</f>
        <v/>
      </c>
      <c r="F23" s="5">
        <f>IF($A23="","",IFERROR(INDEX(FILTER(Raw!$F$2:$F,Raw!$B$2:$B=$B23,Raw!$C$2:$C=$D23),COUNT(FILTER(Raw!$F$2:$F,Raw!$B$2:$B=$B23,Raw!$C$2:$C=$D23))),""))</f>
        <v/>
      </c>
      <c r="G23" s="5">
        <f>IF($A23="","",IFERROR(INDEX(FILTER(Raw!$F$2:$F,Raw!$B$2:$B=$B23,Raw!$C$2:$C=$D23),COUNT(FILTER(Raw!$F$2:$F,Raw!$B$2:$B=$B23,Raw!$C$2:$C=$D23))-1),""))</f>
        <v/>
      </c>
      <c r="H23" s="5">
        <f>IF(OR($F23="",$G23=""),"",$F23-$G23)</f>
        <v/>
      </c>
      <c r="I23" s="6">
        <f>IF(OR($F23="",$G23=""),"",ROUND(($F23-$G23)/$G23*100,2))</f>
        <v/>
      </c>
    </row>
    <row r="24">
      <c r="A24">
        <f>IF(Accounts!$A13=TRUE,Accounts!$D13,"")</f>
        <v/>
      </c>
      <c r="B24">
        <f>IF($A24="","",Accounts!$B13)</f>
        <v/>
      </c>
      <c r="C24">
        <f>IF($A24="","",Accounts!$E13)</f>
        <v/>
      </c>
      <c r="D24">
        <f>IF($A24="","",Accounts!$C13)</f>
        <v/>
      </c>
      <c r="E24">
        <f>IF($A24="","",IFERROR(INDEX(FILTER(Raw!$A$2:$A,Raw!$B$2:$B=$B24,Raw!$C$2:$C=$D24),COUNT(FILTER(Raw!$F$2:$F,Raw!$B$2:$B=$B24,Raw!$C$2:$C=$D24))),"missing"))</f>
        <v/>
      </c>
      <c r="F24" s="5">
        <f>IF($A24="","",IFERROR(INDEX(FILTER(Raw!$F$2:$F,Raw!$B$2:$B=$B24,Raw!$C$2:$C=$D24),COUNT(FILTER(Raw!$F$2:$F,Raw!$B$2:$B=$B24,Raw!$C$2:$C=$D24))),""))</f>
        <v/>
      </c>
      <c r="G24" s="5">
        <f>IF($A24="","",IFERROR(INDEX(FILTER(Raw!$F$2:$F,Raw!$B$2:$B=$B24,Raw!$C$2:$C=$D24),COUNT(FILTER(Raw!$F$2:$F,Raw!$B$2:$B=$B24,Raw!$C$2:$C=$D24))-1),""))</f>
        <v/>
      </c>
      <c r="H24" s="5">
        <f>IF(OR($F24="",$G24=""),"",$F24-$G24)</f>
        <v/>
      </c>
      <c r="I24" s="6">
        <f>IF(OR($F24="",$G24=""),"",ROUND(($F24-$G24)/$G24*100,2))</f>
        <v/>
      </c>
    </row>
    <row r="25">
      <c r="A25">
        <f>IF(Accounts!$A14=TRUE,Accounts!$D14,"")</f>
        <v/>
      </c>
      <c r="B25">
        <f>IF($A25="","",Accounts!$B14)</f>
        <v/>
      </c>
      <c r="C25">
        <f>IF($A25="","",Accounts!$E14)</f>
        <v/>
      </c>
      <c r="D25">
        <f>IF($A25="","",Accounts!$C14)</f>
        <v/>
      </c>
      <c r="E25">
        <f>IF($A25="","",IFERROR(INDEX(FILTER(Raw!$A$2:$A,Raw!$B$2:$B=$B25,Raw!$C$2:$C=$D25),COUNT(FILTER(Raw!$F$2:$F,Raw!$B$2:$B=$B25,Raw!$C$2:$C=$D25))),"missing"))</f>
        <v/>
      </c>
      <c r="F25" s="5">
        <f>IF($A25="","",IFERROR(INDEX(FILTER(Raw!$F$2:$F,Raw!$B$2:$B=$B25,Raw!$C$2:$C=$D25),COUNT(FILTER(Raw!$F$2:$F,Raw!$B$2:$B=$B25,Raw!$C$2:$C=$D25))),""))</f>
        <v/>
      </c>
      <c r="G25" s="5">
        <f>IF($A25="","",IFERROR(INDEX(FILTER(Raw!$F$2:$F,Raw!$B$2:$B=$B25,Raw!$C$2:$C=$D25),COUNT(FILTER(Raw!$F$2:$F,Raw!$B$2:$B=$B25,Raw!$C$2:$C=$D25))-1),""))</f>
        <v/>
      </c>
      <c r="H25" s="5">
        <f>IF(OR($F25="",$G25=""),"",$F25-$G25)</f>
        <v/>
      </c>
      <c r="I25" s="6">
        <f>IF(OR($F25="",$G25=""),"",ROUND(($F25-$G25)/$G25*100,2))</f>
        <v/>
      </c>
    </row>
    <row r="26">
      <c r="A26">
        <f>IF(Accounts!$A15=TRUE,Accounts!$D15,"")</f>
        <v/>
      </c>
      <c r="B26">
        <f>IF($A26="","",Accounts!$B15)</f>
        <v/>
      </c>
      <c r="C26">
        <f>IF($A26="","",Accounts!$E15)</f>
        <v/>
      </c>
      <c r="D26">
        <f>IF($A26="","",Accounts!$C15)</f>
        <v/>
      </c>
      <c r="E26">
        <f>IF($A26="","",IFERROR(INDEX(FILTER(Raw!$A$2:$A,Raw!$B$2:$B=$B26,Raw!$C$2:$C=$D26),COUNT(FILTER(Raw!$F$2:$F,Raw!$B$2:$B=$B26,Raw!$C$2:$C=$D26))),"missing"))</f>
        <v/>
      </c>
      <c r="F26" s="5">
        <f>IF($A26="","",IFERROR(INDEX(FILTER(Raw!$F$2:$F,Raw!$B$2:$B=$B26,Raw!$C$2:$C=$D26),COUNT(FILTER(Raw!$F$2:$F,Raw!$B$2:$B=$B26,Raw!$C$2:$C=$D26))),""))</f>
        <v/>
      </c>
      <c r="G26" s="5">
        <f>IF($A26="","",IFERROR(INDEX(FILTER(Raw!$F$2:$F,Raw!$B$2:$B=$B26,Raw!$C$2:$C=$D26),COUNT(FILTER(Raw!$F$2:$F,Raw!$B$2:$B=$B26,Raw!$C$2:$C=$D26))-1),""))</f>
        <v/>
      </c>
      <c r="H26" s="5">
        <f>IF(OR($F26="",$G26=""),"",$F26-$G26)</f>
        <v/>
      </c>
      <c r="I26" s="6">
        <f>IF(OR($F26="",$G26=""),"",ROUND(($F26-$G26)/$G26*100,2))</f>
        <v/>
      </c>
    </row>
    <row r="27">
      <c r="A27">
        <f>IF(Accounts!$A16=TRUE,Accounts!$D16,"")</f>
        <v/>
      </c>
      <c r="B27">
        <f>IF($A27="","",Accounts!$B16)</f>
        <v/>
      </c>
      <c r="C27">
        <f>IF($A27="","",Accounts!$E16)</f>
        <v/>
      </c>
      <c r="D27">
        <f>IF($A27="","",Accounts!$C16)</f>
        <v/>
      </c>
      <c r="E27">
        <f>IF($A27="","",IFERROR(INDEX(FILTER(Raw!$A$2:$A,Raw!$B$2:$B=$B27,Raw!$C$2:$C=$D27),COUNT(FILTER(Raw!$F$2:$F,Raw!$B$2:$B=$B27,Raw!$C$2:$C=$D27))),"missing"))</f>
        <v/>
      </c>
      <c r="F27" s="5">
        <f>IF($A27="","",IFERROR(INDEX(FILTER(Raw!$F$2:$F,Raw!$B$2:$B=$B27,Raw!$C$2:$C=$D27),COUNT(FILTER(Raw!$F$2:$F,Raw!$B$2:$B=$B27,Raw!$C$2:$C=$D27))),""))</f>
        <v/>
      </c>
      <c r="G27" s="5">
        <f>IF($A27="","",IFERROR(INDEX(FILTER(Raw!$F$2:$F,Raw!$B$2:$B=$B27,Raw!$C$2:$C=$D27),COUNT(FILTER(Raw!$F$2:$F,Raw!$B$2:$B=$B27,Raw!$C$2:$C=$D27))-1),""))</f>
        <v/>
      </c>
      <c r="H27" s="5">
        <f>IF(OR($F27="",$G27=""),"",$F27-$G27)</f>
        <v/>
      </c>
      <c r="I27" s="6">
        <f>IF(OR($F27="",$G27=""),"",ROUND(($F27-$G27)/$G27*100,2))</f>
        <v/>
      </c>
    </row>
    <row r="28">
      <c r="A28">
        <f>IF(Accounts!$A17=TRUE,Accounts!$D17,"")</f>
        <v/>
      </c>
      <c r="B28">
        <f>IF($A28="","",Accounts!$B17)</f>
        <v/>
      </c>
      <c r="C28">
        <f>IF($A28="","",Accounts!$E17)</f>
        <v/>
      </c>
      <c r="D28">
        <f>IF($A28="","",Accounts!$C17)</f>
        <v/>
      </c>
      <c r="E28">
        <f>IF($A28="","",IFERROR(INDEX(FILTER(Raw!$A$2:$A,Raw!$B$2:$B=$B28,Raw!$C$2:$C=$D28),COUNT(FILTER(Raw!$F$2:$F,Raw!$B$2:$B=$B28,Raw!$C$2:$C=$D28))),"missing"))</f>
        <v/>
      </c>
      <c r="F28" s="5">
        <f>IF($A28="","",IFERROR(INDEX(FILTER(Raw!$F$2:$F,Raw!$B$2:$B=$B28,Raw!$C$2:$C=$D28),COUNT(FILTER(Raw!$F$2:$F,Raw!$B$2:$B=$B28,Raw!$C$2:$C=$D28))),""))</f>
        <v/>
      </c>
      <c r="G28" s="5">
        <f>IF($A28="","",IFERROR(INDEX(FILTER(Raw!$F$2:$F,Raw!$B$2:$B=$B28,Raw!$C$2:$C=$D28),COUNT(FILTER(Raw!$F$2:$F,Raw!$B$2:$B=$B28,Raw!$C$2:$C=$D28))-1),""))</f>
        <v/>
      </c>
      <c r="H28" s="5">
        <f>IF(OR($F28="",$G28=""),"",$F28-$G28)</f>
        <v/>
      </c>
      <c r="I28" s="6">
        <f>IF(OR($F28="",$G28=""),"",ROUND(($F28-$G28)/$G28*100,2))</f>
        <v/>
      </c>
    </row>
    <row r="29">
      <c r="A29">
        <f>IF(Accounts!$A18=TRUE,Accounts!$D18,"")</f>
        <v/>
      </c>
      <c r="B29">
        <f>IF($A29="","",Accounts!$B18)</f>
        <v/>
      </c>
      <c r="C29">
        <f>IF($A29="","",Accounts!$E18)</f>
        <v/>
      </c>
      <c r="D29">
        <f>IF($A29="","",Accounts!$C18)</f>
        <v/>
      </c>
      <c r="E29">
        <f>IF($A29="","",IFERROR(INDEX(FILTER(Raw!$A$2:$A,Raw!$B$2:$B=$B29,Raw!$C$2:$C=$D29),COUNT(FILTER(Raw!$F$2:$F,Raw!$B$2:$B=$B29,Raw!$C$2:$C=$D29))),"missing"))</f>
        <v/>
      </c>
      <c r="F29" s="5">
        <f>IF($A29="","",IFERROR(INDEX(FILTER(Raw!$F$2:$F,Raw!$B$2:$B=$B29,Raw!$C$2:$C=$D29),COUNT(FILTER(Raw!$F$2:$F,Raw!$B$2:$B=$B29,Raw!$C$2:$C=$D29))),""))</f>
        <v/>
      </c>
      <c r="G29" s="5">
        <f>IF($A29="","",IFERROR(INDEX(FILTER(Raw!$F$2:$F,Raw!$B$2:$B=$B29,Raw!$C$2:$C=$D29),COUNT(FILTER(Raw!$F$2:$F,Raw!$B$2:$B=$B29,Raw!$C$2:$C=$D29))-1),""))</f>
        <v/>
      </c>
      <c r="H29" s="5">
        <f>IF(OR($F29="",$G29=""),"",$F29-$G29)</f>
        <v/>
      </c>
      <c r="I29" s="6">
        <f>IF(OR($F29="",$G29=""),"",ROUND(($F29-$G29)/$G29*100,2))</f>
        <v/>
      </c>
    </row>
    <row r="30">
      <c r="A30">
        <f>IF(Accounts!$A19=TRUE,Accounts!$D19,"")</f>
        <v/>
      </c>
      <c r="B30">
        <f>IF($A30="","",Accounts!$B19)</f>
        <v/>
      </c>
      <c r="C30">
        <f>IF($A30="","",Accounts!$E19)</f>
        <v/>
      </c>
      <c r="D30">
        <f>IF($A30="","",Accounts!$C19)</f>
        <v/>
      </c>
      <c r="E30">
        <f>IF($A30="","",IFERROR(INDEX(FILTER(Raw!$A$2:$A,Raw!$B$2:$B=$B30,Raw!$C$2:$C=$D30),COUNT(FILTER(Raw!$F$2:$F,Raw!$B$2:$B=$B30,Raw!$C$2:$C=$D30))),"missing"))</f>
        <v/>
      </c>
      <c r="F30" s="5">
        <f>IF($A30="","",IFERROR(INDEX(FILTER(Raw!$F$2:$F,Raw!$B$2:$B=$B30,Raw!$C$2:$C=$D30),COUNT(FILTER(Raw!$F$2:$F,Raw!$B$2:$B=$B30,Raw!$C$2:$C=$D30))),""))</f>
        <v/>
      </c>
      <c r="G30" s="5">
        <f>IF($A30="","",IFERROR(INDEX(FILTER(Raw!$F$2:$F,Raw!$B$2:$B=$B30,Raw!$C$2:$C=$D30),COUNT(FILTER(Raw!$F$2:$F,Raw!$B$2:$B=$B30,Raw!$C$2:$C=$D30))-1),""))</f>
        <v/>
      </c>
      <c r="H30" s="5">
        <f>IF(OR($F30="",$G30=""),"",$F30-$G30)</f>
        <v/>
      </c>
      <c r="I30" s="6">
        <f>IF(OR($F30="",$G30=""),"",ROUND(($F30-$G30)/$G30*100,2))</f>
        <v/>
      </c>
    </row>
    <row r="31">
      <c r="A31">
        <f>IF(Accounts!$A20=TRUE,Accounts!$D20,"")</f>
        <v/>
      </c>
      <c r="B31">
        <f>IF($A31="","",Accounts!$B20)</f>
        <v/>
      </c>
      <c r="C31">
        <f>IF($A31="","",Accounts!$E20)</f>
        <v/>
      </c>
      <c r="D31">
        <f>IF($A31="","",Accounts!$C20)</f>
        <v/>
      </c>
      <c r="E31">
        <f>IF($A31="","",IFERROR(INDEX(FILTER(Raw!$A$2:$A,Raw!$B$2:$B=$B31,Raw!$C$2:$C=$D31),COUNT(FILTER(Raw!$F$2:$F,Raw!$B$2:$B=$B31,Raw!$C$2:$C=$D31))),"missing"))</f>
        <v/>
      </c>
      <c r="F31" s="5">
        <f>IF($A31="","",IFERROR(INDEX(FILTER(Raw!$F$2:$F,Raw!$B$2:$B=$B31,Raw!$C$2:$C=$D31),COUNT(FILTER(Raw!$F$2:$F,Raw!$B$2:$B=$B31,Raw!$C$2:$C=$D31))),""))</f>
        <v/>
      </c>
      <c r="G31" s="5">
        <f>IF($A31="","",IFERROR(INDEX(FILTER(Raw!$F$2:$F,Raw!$B$2:$B=$B31,Raw!$C$2:$C=$D31),COUNT(FILTER(Raw!$F$2:$F,Raw!$B$2:$B=$B31,Raw!$C$2:$C=$D31))-1),""))</f>
        <v/>
      </c>
      <c r="H31" s="5">
        <f>IF(OR($F31="",$G31=""),"",$F31-$G31)</f>
        <v/>
      </c>
      <c r="I31" s="6">
        <f>IF(OR($F31="",$G31=""),"",ROUND(($F31-$G31)/$G31*100,2))</f>
        <v/>
      </c>
    </row>
    <row r="32">
      <c r="A32">
        <f>IF(Accounts!$A21=TRUE,Accounts!$D21,"")</f>
        <v/>
      </c>
      <c r="B32">
        <f>IF($A32="","",Accounts!$B21)</f>
        <v/>
      </c>
      <c r="C32">
        <f>IF($A32="","",Accounts!$E21)</f>
        <v/>
      </c>
      <c r="D32">
        <f>IF($A32="","",Accounts!$C21)</f>
        <v/>
      </c>
      <c r="E32">
        <f>IF($A32="","",IFERROR(INDEX(FILTER(Raw!$A$2:$A,Raw!$B$2:$B=$B32,Raw!$C$2:$C=$D32),COUNT(FILTER(Raw!$F$2:$F,Raw!$B$2:$B=$B32,Raw!$C$2:$C=$D32))),"missing"))</f>
        <v/>
      </c>
      <c r="F32" s="5">
        <f>IF($A32="","",IFERROR(INDEX(FILTER(Raw!$F$2:$F,Raw!$B$2:$B=$B32,Raw!$C$2:$C=$D32),COUNT(FILTER(Raw!$F$2:$F,Raw!$B$2:$B=$B32,Raw!$C$2:$C=$D32))),""))</f>
        <v/>
      </c>
      <c r="G32" s="5">
        <f>IF($A32="","",IFERROR(INDEX(FILTER(Raw!$F$2:$F,Raw!$B$2:$B=$B32,Raw!$C$2:$C=$D32),COUNT(FILTER(Raw!$F$2:$F,Raw!$B$2:$B=$B32,Raw!$C$2:$C=$D32))-1),""))</f>
        <v/>
      </c>
      <c r="H32" s="5">
        <f>IF(OR($F32="",$G32=""),"",$F32-$G32)</f>
        <v/>
      </c>
      <c r="I32" s="6">
        <f>IF(OR($F32="",$G32=""),"",ROUND(($F32-$G32)/$G32*100,2))</f>
        <v/>
      </c>
    </row>
    <row r="33">
      <c r="A33">
        <f>IF(Accounts!$A22=TRUE,Accounts!$D22,"")</f>
        <v/>
      </c>
      <c r="B33">
        <f>IF($A33="","",Accounts!$B22)</f>
        <v/>
      </c>
      <c r="C33">
        <f>IF($A33="","",Accounts!$E22)</f>
        <v/>
      </c>
      <c r="D33">
        <f>IF($A33="","",Accounts!$C22)</f>
        <v/>
      </c>
      <c r="E33">
        <f>IF($A33="","",IFERROR(INDEX(FILTER(Raw!$A$2:$A,Raw!$B$2:$B=$B33,Raw!$C$2:$C=$D33),COUNT(FILTER(Raw!$F$2:$F,Raw!$B$2:$B=$B33,Raw!$C$2:$C=$D33))),"missing"))</f>
        <v/>
      </c>
      <c r="F33" s="5">
        <f>IF($A33="","",IFERROR(INDEX(FILTER(Raw!$F$2:$F,Raw!$B$2:$B=$B33,Raw!$C$2:$C=$D33),COUNT(FILTER(Raw!$F$2:$F,Raw!$B$2:$B=$B33,Raw!$C$2:$C=$D33))),""))</f>
        <v/>
      </c>
      <c r="G33" s="5">
        <f>IF($A33="","",IFERROR(INDEX(FILTER(Raw!$F$2:$F,Raw!$B$2:$B=$B33,Raw!$C$2:$C=$D33),COUNT(FILTER(Raw!$F$2:$F,Raw!$B$2:$B=$B33,Raw!$C$2:$C=$D33))-1),""))</f>
        <v/>
      </c>
      <c r="H33" s="5">
        <f>IF(OR($F33="",$G33=""),"",$F33-$G33)</f>
        <v/>
      </c>
      <c r="I33" s="6">
        <f>IF(OR($F33="",$G33=""),"",ROUND(($F33-$G33)/$G33*100,2))</f>
        <v/>
      </c>
    </row>
    <row r="34">
      <c r="A34">
        <f>IF(Accounts!$A23=TRUE,Accounts!$D23,"")</f>
        <v/>
      </c>
      <c r="B34">
        <f>IF($A34="","",Accounts!$B23)</f>
        <v/>
      </c>
      <c r="C34">
        <f>IF($A34="","",Accounts!$E23)</f>
        <v/>
      </c>
      <c r="D34">
        <f>IF($A34="","",Accounts!$C23)</f>
        <v/>
      </c>
      <c r="E34">
        <f>IF($A34="","",IFERROR(INDEX(FILTER(Raw!$A$2:$A,Raw!$B$2:$B=$B34,Raw!$C$2:$C=$D34),COUNT(FILTER(Raw!$F$2:$F,Raw!$B$2:$B=$B34,Raw!$C$2:$C=$D34))),"missing"))</f>
        <v/>
      </c>
      <c r="F34" s="5">
        <f>IF($A34="","",IFERROR(INDEX(FILTER(Raw!$F$2:$F,Raw!$B$2:$B=$B34,Raw!$C$2:$C=$D34),COUNT(FILTER(Raw!$F$2:$F,Raw!$B$2:$B=$B34,Raw!$C$2:$C=$D34))),""))</f>
        <v/>
      </c>
      <c r="G34" s="5">
        <f>IF($A34="","",IFERROR(INDEX(FILTER(Raw!$F$2:$F,Raw!$B$2:$B=$B34,Raw!$C$2:$C=$D34),COUNT(FILTER(Raw!$F$2:$F,Raw!$B$2:$B=$B34,Raw!$C$2:$C=$D34))-1),""))</f>
        <v/>
      </c>
      <c r="H34" s="5">
        <f>IF(OR($F34="",$G34=""),"",$F34-$G34)</f>
        <v/>
      </c>
      <c r="I34" s="6">
        <f>IF(OR($F34="",$G34=""),"",ROUND(($F34-$G34)/$G34*100,2))</f>
        <v/>
      </c>
    </row>
    <row r="35">
      <c r="A35">
        <f>IF(Accounts!$A24=TRUE,Accounts!$D24,"")</f>
        <v/>
      </c>
      <c r="B35">
        <f>IF($A35="","",Accounts!$B24)</f>
        <v/>
      </c>
      <c r="C35">
        <f>IF($A35="","",Accounts!$E24)</f>
        <v/>
      </c>
      <c r="D35">
        <f>IF($A35="","",Accounts!$C24)</f>
        <v/>
      </c>
      <c r="E35">
        <f>IF($A35="","",IFERROR(INDEX(FILTER(Raw!$A$2:$A,Raw!$B$2:$B=$B35,Raw!$C$2:$C=$D35),COUNT(FILTER(Raw!$F$2:$F,Raw!$B$2:$B=$B35,Raw!$C$2:$C=$D35))),"missing"))</f>
        <v/>
      </c>
      <c r="F35" s="5">
        <f>IF($A35="","",IFERROR(INDEX(FILTER(Raw!$F$2:$F,Raw!$B$2:$B=$B35,Raw!$C$2:$C=$D35),COUNT(FILTER(Raw!$F$2:$F,Raw!$B$2:$B=$B35,Raw!$C$2:$C=$D35))),""))</f>
        <v/>
      </c>
      <c r="G35" s="5">
        <f>IF($A35="","",IFERROR(INDEX(FILTER(Raw!$F$2:$F,Raw!$B$2:$B=$B35,Raw!$C$2:$C=$D35),COUNT(FILTER(Raw!$F$2:$F,Raw!$B$2:$B=$B35,Raw!$C$2:$C=$D35))-1),""))</f>
        <v/>
      </c>
      <c r="H35" s="5">
        <f>IF(OR($F35="",$G35=""),"",$F35-$G35)</f>
        <v/>
      </c>
      <c r="I35" s="6">
        <f>IF(OR($F35="",$G35=""),"",ROUND(($F35-$G35)/$G35*100,2))</f>
        <v/>
      </c>
    </row>
    <row r="36">
      <c r="A36">
        <f>IF(Accounts!$A25=TRUE,Accounts!$D25,"")</f>
        <v/>
      </c>
      <c r="B36">
        <f>IF($A36="","",Accounts!$B25)</f>
        <v/>
      </c>
      <c r="C36">
        <f>IF($A36="","",Accounts!$E25)</f>
        <v/>
      </c>
      <c r="D36">
        <f>IF($A36="","",Accounts!$C25)</f>
        <v/>
      </c>
      <c r="E36">
        <f>IF($A36="","",IFERROR(INDEX(FILTER(Raw!$A$2:$A,Raw!$B$2:$B=$B36,Raw!$C$2:$C=$D36),COUNT(FILTER(Raw!$F$2:$F,Raw!$B$2:$B=$B36,Raw!$C$2:$C=$D36))),"missing"))</f>
        <v/>
      </c>
      <c r="F36" s="5">
        <f>IF($A36="","",IFERROR(INDEX(FILTER(Raw!$F$2:$F,Raw!$B$2:$B=$B36,Raw!$C$2:$C=$D36),COUNT(FILTER(Raw!$F$2:$F,Raw!$B$2:$B=$B36,Raw!$C$2:$C=$D36))),""))</f>
        <v/>
      </c>
      <c r="G36" s="5">
        <f>IF($A36="","",IFERROR(INDEX(FILTER(Raw!$F$2:$F,Raw!$B$2:$B=$B36,Raw!$C$2:$C=$D36),COUNT(FILTER(Raw!$F$2:$F,Raw!$B$2:$B=$B36,Raw!$C$2:$C=$D36))-1),""))</f>
        <v/>
      </c>
      <c r="H36" s="5">
        <f>IF(OR($F36="",$G36=""),"",$F36-$G36)</f>
        <v/>
      </c>
      <c r="I36" s="6">
        <f>IF(OR($F36="",$G36=""),"",ROUND(($F36-$G36)/$G36*100,2))</f>
        <v/>
      </c>
    </row>
    <row r="37">
      <c r="A37">
        <f>IF(Accounts!$A26=TRUE,Accounts!$D26,"")</f>
        <v/>
      </c>
      <c r="B37">
        <f>IF($A37="","",Accounts!$B26)</f>
        <v/>
      </c>
      <c r="C37">
        <f>IF($A37="","",Accounts!$E26)</f>
        <v/>
      </c>
      <c r="D37">
        <f>IF($A37="","",Accounts!$C26)</f>
        <v/>
      </c>
      <c r="E37">
        <f>IF($A37="","",IFERROR(INDEX(FILTER(Raw!$A$2:$A,Raw!$B$2:$B=$B37,Raw!$C$2:$C=$D37),COUNT(FILTER(Raw!$F$2:$F,Raw!$B$2:$B=$B37,Raw!$C$2:$C=$D37))),"missing"))</f>
        <v/>
      </c>
      <c r="F37" s="5">
        <f>IF($A37="","",IFERROR(INDEX(FILTER(Raw!$F$2:$F,Raw!$B$2:$B=$B37,Raw!$C$2:$C=$D37),COUNT(FILTER(Raw!$F$2:$F,Raw!$B$2:$B=$B37,Raw!$C$2:$C=$D37))),""))</f>
        <v/>
      </c>
      <c r="G37" s="5">
        <f>IF($A37="","",IFERROR(INDEX(FILTER(Raw!$F$2:$F,Raw!$B$2:$B=$B37,Raw!$C$2:$C=$D37),COUNT(FILTER(Raw!$F$2:$F,Raw!$B$2:$B=$B37,Raw!$C$2:$C=$D37))-1),""))</f>
        <v/>
      </c>
      <c r="H37" s="5">
        <f>IF(OR($F37="",$G37=""),"",$F37-$G37)</f>
        <v/>
      </c>
      <c r="I37" s="6">
        <f>IF(OR($F37="",$G37=""),"",ROUND(($F37-$G37)/$G37*100,2))</f>
        <v/>
      </c>
    </row>
    <row r="38">
      <c r="A38">
        <f>IF(Accounts!$A27=TRUE,Accounts!$D27,"")</f>
        <v/>
      </c>
      <c r="B38">
        <f>IF($A38="","",Accounts!$B27)</f>
        <v/>
      </c>
      <c r="C38">
        <f>IF($A38="","",Accounts!$E27)</f>
        <v/>
      </c>
      <c r="D38">
        <f>IF($A38="","",Accounts!$C27)</f>
        <v/>
      </c>
      <c r="E38">
        <f>IF($A38="","",IFERROR(INDEX(FILTER(Raw!$A$2:$A,Raw!$B$2:$B=$B38,Raw!$C$2:$C=$D38),COUNT(FILTER(Raw!$F$2:$F,Raw!$B$2:$B=$B38,Raw!$C$2:$C=$D38))),"missing"))</f>
        <v/>
      </c>
      <c r="F38" s="5">
        <f>IF($A38="","",IFERROR(INDEX(FILTER(Raw!$F$2:$F,Raw!$B$2:$B=$B38,Raw!$C$2:$C=$D38),COUNT(FILTER(Raw!$F$2:$F,Raw!$B$2:$B=$B38,Raw!$C$2:$C=$D38))),""))</f>
        <v/>
      </c>
      <c r="G38" s="5">
        <f>IF($A38="","",IFERROR(INDEX(FILTER(Raw!$F$2:$F,Raw!$B$2:$B=$B38,Raw!$C$2:$C=$D38),COUNT(FILTER(Raw!$F$2:$F,Raw!$B$2:$B=$B38,Raw!$C$2:$C=$D38))-1),""))</f>
        <v/>
      </c>
      <c r="H38" s="5">
        <f>IF(OR($F38="",$G38=""),"",$F38-$G38)</f>
        <v/>
      </c>
      <c r="I38" s="6">
        <f>IF(OR($F38="",$G38=""),"",ROUND(($F38-$G38)/$G38*100,2))</f>
        <v/>
      </c>
    </row>
    <row r="39">
      <c r="A39">
        <f>IF(Accounts!$A28=TRUE,Accounts!$D28,"")</f>
        <v/>
      </c>
      <c r="B39">
        <f>IF($A39="","",Accounts!$B28)</f>
        <v/>
      </c>
      <c r="C39">
        <f>IF($A39="","",Accounts!$E28)</f>
        <v/>
      </c>
      <c r="D39">
        <f>IF($A39="","",Accounts!$C28)</f>
        <v/>
      </c>
      <c r="E39">
        <f>IF($A39="","",IFERROR(INDEX(FILTER(Raw!$A$2:$A,Raw!$B$2:$B=$B39,Raw!$C$2:$C=$D39),COUNT(FILTER(Raw!$F$2:$F,Raw!$B$2:$B=$B39,Raw!$C$2:$C=$D39))),"missing"))</f>
        <v/>
      </c>
      <c r="F39" s="5">
        <f>IF($A39="","",IFERROR(INDEX(FILTER(Raw!$F$2:$F,Raw!$B$2:$B=$B39,Raw!$C$2:$C=$D39),COUNT(FILTER(Raw!$F$2:$F,Raw!$B$2:$B=$B39,Raw!$C$2:$C=$D39))),""))</f>
        <v/>
      </c>
      <c r="G39" s="5">
        <f>IF($A39="","",IFERROR(INDEX(FILTER(Raw!$F$2:$F,Raw!$B$2:$B=$B39,Raw!$C$2:$C=$D39),COUNT(FILTER(Raw!$F$2:$F,Raw!$B$2:$B=$B39,Raw!$C$2:$C=$D39))-1),""))</f>
        <v/>
      </c>
      <c r="H39" s="5">
        <f>IF(OR($F39="",$G39=""),"",$F39-$G39)</f>
        <v/>
      </c>
      <c r="I39" s="6">
        <f>IF(OR($F39="",$G39=""),"",ROUND(($F39-$G39)/$G39*100,2))</f>
        <v/>
      </c>
    </row>
    <row r="40">
      <c r="A40">
        <f>IF(Accounts!$A29=TRUE,Accounts!$D29,"")</f>
        <v/>
      </c>
      <c r="B40">
        <f>IF($A40="","",Accounts!$B29)</f>
        <v/>
      </c>
      <c r="C40">
        <f>IF($A40="","",Accounts!$E29)</f>
        <v/>
      </c>
      <c r="D40">
        <f>IF($A40="","",Accounts!$C29)</f>
        <v/>
      </c>
      <c r="E40">
        <f>IF($A40="","",IFERROR(INDEX(FILTER(Raw!$A$2:$A,Raw!$B$2:$B=$B40,Raw!$C$2:$C=$D40),COUNT(FILTER(Raw!$F$2:$F,Raw!$B$2:$B=$B40,Raw!$C$2:$C=$D40))),"missing"))</f>
        <v/>
      </c>
      <c r="F40" s="5">
        <f>IF($A40="","",IFERROR(INDEX(FILTER(Raw!$F$2:$F,Raw!$B$2:$B=$B40,Raw!$C$2:$C=$D40),COUNT(FILTER(Raw!$F$2:$F,Raw!$B$2:$B=$B40,Raw!$C$2:$C=$D40))),""))</f>
        <v/>
      </c>
      <c r="G40" s="5">
        <f>IF($A40="","",IFERROR(INDEX(FILTER(Raw!$F$2:$F,Raw!$B$2:$B=$B40,Raw!$C$2:$C=$D40),COUNT(FILTER(Raw!$F$2:$F,Raw!$B$2:$B=$B40,Raw!$C$2:$C=$D40))-1),""))</f>
        <v/>
      </c>
      <c r="H40" s="5">
        <f>IF(OR($F40="",$G40=""),"",$F40-$G40)</f>
        <v/>
      </c>
      <c r="I40" s="6">
        <f>IF(OR($F40="",$G40=""),"",ROUND(($F40-$G40)/$G40*100,2))</f>
        <v/>
      </c>
    </row>
    <row r="41">
      <c r="A41">
        <f>IF(Accounts!$A30=TRUE,Accounts!$D30,"")</f>
        <v/>
      </c>
      <c r="B41">
        <f>IF($A41="","",Accounts!$B30)</f>
        <v/>
      </c>
      <c r="C41">
        <f>IF($A41="","",Accounts!$E30)</f>
        <v/>
      </c>
      <c r="D41">
        <f>IF($A41="","",Accounts!$C30)</f>
        <v/>
      </c>
      <c r="E41">
        <f>IF($A41="","",IFERROR(INDEX(FILTER(Raw!$A$2:$A,Raw!$B$2:$B=$B41,Raw!$C$2:$C=$D41),COUNT(FILTER(Raw!$F$2:$F,Raw!$B$2:$B=$B41,Raw!$C$2:$C=$D41))),"missing"))</f>
        <v/>
      </c>
      <c r="F41" s="5">
        <f>IF($A41="","",IFERROR(INDEX(FILTER(Raw!$F$2:$F,Raw!$B$2:$B=$B41,Raw!$C$2:$C=$D41),COUNT(FILTER(Raw!$F$2:$F,Raw!$B$2:$B=$B41,Raw!$C$2:$C=$D41))),""))</f>
        <v/>
      </c>
      <c r="G41" s="5">
        <f>IF($A41="","",IFERROR(INDEX(FILTER(Raw!$F$2:$F,Raw!$B$2:$B=$B41,Raw!$C$2:$C=$D41),COUNT(FILTER(Raw!$F$2:$F,Raw!$B$2:$B=$B41,Raw!$C$2:$C=$D41))-1),""))</f>
        <v/>
      </c>
      <c r="H41" s="5">
        <f>IF(OR($F41="",$G41=""),"",$F41-$G41)</f>
        <v/>
      </c>
      <c r="I41" s="6">
        <f>IF(OR($F41="",$G41=""),"",ROUND(($F41-$G41)/$G41*100,2))</f>
        <v/>
      </c>
    </row>
    <row r="42">
      <c r="A42">
        <f>IF(Accounts!$A31=TRUE,Accounts!$D31,"")</f>
        <v/>
      </c>
      <c r="B42">
        <f>IF($A42="","",Accounts!$B31)</f>
        <v/>
      </c>
      <c r="C42">
        <f>IF($A42="","",Accounts!$E31)</f>
        <v/>
      </c>
      <c r="D42">
        <f>IF($A42="","",Accounts!$C31)</f>
        <v/>
      </c>
      <c r="E42">
        <f>IF($A42="","",IFERROR(INDEX(FILTER(Raw!$A$2:$A,Raw!$B$2:$B=$B42,Raw!$C$2:$C=$D42),COUNT(FILTER(Raw!$F$2:$F,Raw!$B$2:$B=$B42,Raw!$C$2:$C=$D42))),"missing"))</f>
        <v/>
      </c>
      <c r="F42" s="5">
        <f>IF($A42="","",IFERROR(INDEX(FILTER(Raw!$F$2:$F,Raw!$B$2:$B=$B42,Raw!$C$2:$C=$D42),COUNT(FILTER(Raw!$F$2:$F,Raw!$B$2:$B=$B42,Raw!$C$2:$C=$D42))),""))</f>
        <v/>
      </c>
      <c r="G42" s="5">
        <f>IF($A42="","",IFERROR(INDEX(FILTER(Raw!$F$2:$F,Raw!$B$2:$B=$B42,Raw!$C$2:$C=$D42),COUNT(FILTER(Raw!$F$2:$F,Raw!$B$2:$B=$B42,Raw!$C$2:$C=$D42))-1),""))</f>
        <v/>
      </c>
      <c r="H42" s="5">
        <f>IF(OR($F42="",$G42=""),"",$F42-$G42)</f>
        <v/>
      </c>
      <c r="I42" s="6">
        <f>IF(OR($F42="",$G42=""),"",ROUND(($F42-$G42)/$G42*100,2))</f>
        <v/>
      </c>
    </row>
  </sheetData>
  <conditionalFormatting sqref="H13:I42">
    <cfRule type="expression" priority="1" dxfId="0">
      <formula>AND($H13&lt;&gt;"",$H13&gt;0)</formula>
    </cfRule>
    <cfRule type="expression" priority="2" dxfId="1">
      <formula>AND($H13&lt;&gt;"",$H13&lt;0)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5" customWidth="1" min="4" max="4"/>
    <col width="14" customWidth="1" min="5" max="5"/>
    <col width="10" customWidth="1" min="6" max="6"/>
    <col width="34" customWidth="1" min="7" max="7"/>
  </cols>
  <sheetData>
    <row r="1">
      <c r="A1" s="4" t="inlineStr">
        <is>
          <t>enabled</t>
        </is>
      </c>
      <c r="B1" s="4" t="inlineStr">
        <is>
          <t>platform</t>
        </is>
      </c>
      <c r="C1" s="4" t="inlineStr">
        <is>
          <t>username</t>
        </is>
      </c>
      <c r="D1" s="4" t="inlineStr">
        <is>
          <t>brand</t>
        </is>
      </c>
      <c r="E1" s="4" t="inlineStr">
        <is>
          <t>account_label</t>
        </is>
      </c>
      <c r="F1" s="4" t="inlineStr">
        <is>
          <t>frequency</t>
        </is>
      </c>
      <c r="G1" s="4" t="inlineStr">
        <is>
          <t>note</t>
        </is>
      </c>
    </row>
    <row r="2">
      <c r="A2" t="b">
        <v>1</v>
      </c>
      <c r="B2" t="inlineStr">
        <is>
          <t>instagram</t>
        </is>
      </c>
      <c r="C2" t="inlineStr">
        <is>
          <t>yourbrand</t>
        </is>
      </c>
      <c r="D2" t="inlineStr">
        <is>
          <t>You</t>
        </is>
      </c>
      <c r="E2" t="inlineStr">
        <is>
          <t>main</t>
        </is>
      </c>
      <c r="F2" t="inlineStr">
        <is>
          <t>daily</t>
        </is>
      </c>
      <c r="G2" t="inlineStr"/>
    </row>
    <row r="3">
      <c r="A3" t="b">
        <v>1</v>
      </c>
      <c r="B3" t="inlineStr">
        <is>
          <t>instagram</t>
        </is>
      </c>
      <c r="C3" t="inlineStr">
        <is>
          <t>yourbrand.second</t>
        </is>
      </c>
      <c r="D3" t="inlineStr">
        <is>
          <t>You</t>
        </is>
      </c>
      <c r="E3" t="inlineStr">
        <is>
          <t>secondary</t>
        </is>
      </c>
      <c r="F3" t="inlineStr">
        <is>
          <t>daily</t>
        </is>
      </c>
      <c r="G3" t="inlineStr">
        <is>
          <t>2nd IG account of the brand</t>
        </is>
      </c>
    </row>
    <row r="4">
      <c r="A4" t="b">
        <v>0</v>
      </c>
      <c r="B4" t="inlineStr">
        <is>
          <t>facebook</t>
        </is>
      </c>
      <c r="C4" t="inlineStr">
        <is>
          <t>yourbrand</t>
        </is>
      </c>
      <c r="D4" t="inlineStr">
        <is>
          <t>You</t>
        </is>
      </c>
      <c r="E4" t="inlineStr">
        <is>
          <t>main</t>
        </is>
      </c>
      <c r="F4" t="inlineStr">
        <is>
          <t>daily</t>
        </is>
      </c>
      <c r="G4" t="inlineStr"/>
    </row>
    <row r="5">
      <c r="A5" t="b">
        <v>0</v>
      </c>
      <c r="B5" t="inlineStr">
        <is>
          <t>facebook</t>
        </is>
      </c>
      <c r="C5" t="inlineStr">
        <is>
          <t>yourbrand.second</t>
        </is>
      </c>
      <c r="D5" t="inlineStr">
        <is>
          <t>You</t>
        </is>
      </c>
      <c r="E5" t="inlineStr">
        <is>
          <t>secondary</t>
        </is>
      </c>
      <c r="F5" t="inlineStr">
        <is>
          <t>daily</t>
        </is>
      </c>
      <c r="G5" t="inlineStr">
        <is>
          <t>2nd FB page of the brand</t>
        </is>
      </c>
    </row>
    <row r="6">
      <c r="A6" t="b">
        <v>0</v>
      </c>
      <c r="B6" t="inlineStr">
        <is>
          <t>tiktok</t>
        </is>
      </c>
      <c r="C6" t="inlineStr">
        <is>
          <t>yourbrand</t>
        </is>
      </c>
      <c r="D6" t="inlineStr">
        <is>
          <t>You</t>
        </is>
      </c>
      <c r="E6" t="inlineStr">
        <is>
          <t>main</t>
        </is>
      </c>
      <c r="F6" t="inlineStr">
        <is>
          <t>daily</t>
        </is>
      </c>
      <c r="G6" t="inlineStr"/>
    </row>
    <row r="7">
      <c r="A7" t="b">
        <v>0</v>
      </c>
      <c r="B7" t="inlineStr">
        <is>
          <t>youtube</t>
        </is>
      </c>
      <c r="C7" t="inlineStr">
        <is>
          <t>@yourbrand</t>
        </is>
      </c>
      <c r="D7" t="inlineStr">
        <is>
          <t>You</t>
        </is>
      </c>
      <c r="E7" t="inlineStr">
        <is>
          <t>main</t>
        </is>
      </c>
      <c r="F7" t="inlineStr">
        <is>
          <t>daily</t>
        </is>
      </c>
      <c r="G7" t="inlineStr">
        <is>
          <t>with @ prefix</t>
        </is>
      </c>
    </row>
    <row r="8">
      <c r="A8" t="b">
        <v>0</v>
      </c>
      <c r="B8" t="inlineStr">
        <is>
          <t>threads</t>
        </is>
      </c>
      <c r="C8" t="inlineStr">
        <is>
          <t>yourbrand</t>
        </is>
      </c>
      <c r="D8" t="inlineStr">
        <is>
          <t>You</t>
        </is>
      </c>
      <c r="E8" t="inlineStr">
        <is>
          <t>main</t>
        </is>
      </c>
      <c r="F8" t="inlineStr">
        <is>
          <t>daily</t>
        </is>
      </c>
      <c r="G8" t="inlineStr"/>
    </row>
    <row r="9">
      <c r="A9" t="b">
        <v>0</v>
      </c>
      <c r="B9" t="inlineStr">
        <is>
          <t>twitter</t>
        </is>
      </c>
      <c r="C9" t="inlineStr">
        <is>
          <t>yourbrand</t>
        </is>
      </c>
      <c r="D9" t="inlineStr">
        <is>
          <t>You</t>
        </is>
      </c>
      <c r="E9" t="inlineStr">
        <is>
          <t>main</t>
        </is>
      </c>
      <c r="F9" t="inlineStr">
        <is>
          <t>daily</t>
        </is>
      </c>
      <c r="G9" t="inlineStr"/>
    </row>
    <row r="10">
      <c r="A10" t="b">
        <v>0</v>
      </c>
      <c r="B10" t="inlineStr">
        <is>
          <t>linkedin</t>
        </is>
      </c>
      <c r="C10" t="inlineStr">
        <is>
          <t>in/yourname</t>
        </is>
      </c>
      <c r="D10" t="inlineStr">
        <is>
          <t>You</t>
        </is>
      </c>
      <c r="E10" t="inlineStr">
        <is>
          <t>main</t>
        </is>
      </c>
      <c r="F10" t="inlineStr">
        <is>
          <t>daily</t>
        </is>
      </c>
      <c r="G10" t="inlineStr">
        <is>
          <t>personal profile = in/username</t>
        </is>
      </c>
    </row>
    <row r="11">
      <c r="A11" t="b">
        <v>0</v>
      </c>
      <c r="B11" t="inlineStr">
        <is>
          <t>linkedin</t>
        </is>
      </c>
      <c r="C11" t="inlineStr">
        <is>
          <t>company/yourbrand</t>
        </is>
      </c>
      <c r="D11" t="inlineStr">
        <is>
          <t>You</t>
        </is>
      </c>
      <c r="E11" t="inlineStr">
        <is>
          <t>secondary</t>
        </is>
      </c>
      <c r="F11" t="inlineStr">
        <is>
          <t>daily</t>
        </is>
      </c>
      <c r="G11" t="inlineStr">
        <is>
          <t>company page = company/slug</t>
        </is>
      </c>
    </row>
    <row r="12">
      <c r="A12" t="b">
        <v>0</v>
      </c>
      <c r="B12" t="inlineStr">
        <is>
          <t>reddit</t>
        </is>
      </c>
      <c r="C12" t="inlineStr">
        <is>
          <t>yoursubreddit</t>
        </is>
      </c>
      <c r="D12" t="inlineStr">
        <is>
          <t>You</t>
        </is>
      </c>
      <c r="E12" t="inlineStr">
        <is>
          <t>main</t>
        </is>
      </c>
      <c r="F12" t="inlineStr">
        <is>
          <t>weekly</t>
        </is>
      </c>
      <c r="G12" t="inlineStr">
        <is>
          <t>no r/ prefix</t>
        </is>
      </c>
    </row>
    <row r="13">
      <c r="A13" t="b">
        <v>0</v>
      </c>
      <c r="B13" t="inlineStr">
        <is>
          <t>instagram</t>
        </is>
      </c>
      <c r="C13" t="inlineStr">
        <is>
          <t>competitor1</t>
        </is>
      </c>
      <c r="D13" t="inlineStr">
        <is>
          <t>Competitor 1</t>
        </is>
      </c>
      <c r="E13" t="inlineStr">
        <is>
          <t>main</t>
        </is>
      </c>
      <c r="F13" t="inlineStr">
        <is>
          <t>daily</t>
        </is>
      </c>
      <c r="G13" t="inlineStr"/>
    </row>
    <row r="14">
      <c r="A14" t="b">
        <v>0</v>
      </c>
      <c r="B14" t="inlineStr">
        <is>
          <t>tiktok</t>
        </is>
      </c>
      <c r="C14" t="inlineStr">
        <is>
          <t>competitor1</t>
        </is>
      </c>
      <c r="D14" t="inlineStr">
        <is>
          <t>Competitor 1</t>
        </is>
      </c>
      <c r="E14" t="inlineStr">
        <is>
          <t>main</t>
        </is>
      </c>
      <c r="F14" t="inlineStr">
        <is>
          <t>daily</t>
        </is>
      </c>
      <c r="G14" t="inlineStr"/>
    </row>
    <row r="15">
      <c r="A15" t="b">
        <v>0</v>
      </c>
      <c r="B15" t="inlineStr">
        <is>
          <t>youtube</t>
        </is>
      </c>
      <c r="C15" t="inlineStr">
        <is>
          <t>@competitor1</t>
        </is>
      </c>
      <c r="D15" t="inlineStr">
        <is>
          <t>Competitor 1</t>
        </is>
      </c>
      <c r="E15" t="inlineStr">
        <is>
          <t>main</t>
        </is>
      </c>
      <c r="F15" t="inlineStr">
        <is>
          <t>daily</t>
        </is>
      </c>
      <c r="G15" t="inlineStr"/>
    </row>
    <row r="16">
      <c r="A16" t="b">
        <v>0</v>
      </c>
      <c r="B16" t="inlineStr">
        <is>
          <t>threads</t>
        </is>
      </c>
      <c r="C16" t="inlineStr">
        <is>
          <t>competitor1</t>
        </is>
      </c>
      <c r="D16" t="inlineStr">
        <is>
          <t>Competitor 1</t>
        </is>
      </c>
      <c r="E16" t="inlineStr">
        <is>
          <t>main</t>
        </is>
      </c>
      <c r="F16" t="inlineStr">
        <is>
          <t>daily</t>
        </is>
      </c>
      <c r="G16" t="inlineStr"/>
    </row>
    <row r="17">
      <c r="A17" t="b">
        <v>0</v>
      </c>
      <c r="B17" t="inlineStr">
        <is>
          <t>linkedin</t>
        </is>
      </c>
      <c r="C17" t="inlineStr">
        <is>
          <t>company/competitor1</t>
        </is>
      </c>
      <c r="D17" t="inlineStr">
        <is>
          <t>Competitor 1</t>
        </is>
      </c>
      <c r="E17" t="inlineStr">
        <is>
          <t>main</t>
        </is>
      </c>
      <c r="F17" t="inlineStr">
        <is>
          <t>daily</t>
        </is>
      </c>
      <c r="G17" t="inlineStr"/>
    </row>
  </sheetData>
  <dataValidations count="5">
    <dataValidation sqref="A2:A200" showDropDown="0" showInputMessage="0" showErrorMessage="0" allowBlank="1" type="list">
      <formula1>"TRUE,FALSE"</formula1>
    </dataValidation>
    <dataValidation sqref="B2:B200" showDropDown="0" showInputMessage="0" showErrorMessage="0" allowBlank="1" type="list">
      <formula1>"instagram,facebook,tiktok,youtube,twitter,linkedin,reddit,threads"</formula1>
    </dataValidation>
    <dataValidation sqref="D2:D200" showDropDown="0" showInputMessage="0" showErrorMessage="0" allowBlank="1" type="list">
      <formula1>"You,Competitor 1,Competitor 2,Competitor 3,Competitor 4"</formula1>
    </dataValidation>
    <dataValidation sqref="E2:E200" showDropDown="0" showInputMessage="0" showErrorMessage="0" allowBlank="1" type="list">
      <formula1>"main,secondary"</formula1>
    </dataValidation>
    <dataValidation sqref="F2:F200" showDropDown="0" showInputMessage="0" showErrorMessage="0" allowBlank="1" type="list">
      <formula1>"daily,weekly"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14" customWidth="1" min="4" max="4"/>
    <col width="13" customWidth="1" min="5" max="5"/>
    <col width="12" customWidth="1" min="6" max="6"/>
    <col width="8" customWidth="1" min="7" max="7"/>
    <col width="42" customWidth="1" min="8" max="8"/>
  </cols>
  <sheetData>
    <row r="1">
      <c r="A1" s="4" t="inlineStr">
        <is>
          <t>date</t>
        </is>
      </c>
      <c r="B1" s="4" t="inlineStr">
        <is>
          <t>platform</t>
        </is>
      </c>
      <c r="C1" s="4" t="inlineStr">
        <is>
          <t>username</t>
        </is>
      </c>
      <c r="D1" s="4" t="inlineStr">
        <is>
          <t>brand</t>
        </is>
      </c>
      <c r="E1" s="4" t="inlineStr">
        <is>
          <t>account_label</t>
        </is>
      </c>
      <c r="F1" s="4" t="inlineStr">
        <is>
          <t>followers</t>
        </is>
      </c>
      <c r="G1" s="4" t="inlineStr">
        <is>
          <t>posts</t>
        </is>
      </c>
      <c r="H1" s="4" t="inlineStr">
        <is>
          <t>profile_url</t>
        </is>
      </c>
    </row>
    <row r="2">
      <c r="A2" t="inlineStr">
        <is>
          <t>2026-09-20</t>
        </is>
      </c>
      <c r="B2" t="inlineStr">
        <is>
          <t>instagram</t>
        </is>
      </c>
      <c r="C2" t="inlineStr">
        <is>
          <t>yourbrand</t>
        </is>
      </c>
      <c r="D2" t="inlineStr">
        <is>
          <t>You</t>
        </is>
      </c>
      <c r="E2" t="inlineStr">
        <is>
          <t>main</t>
        </is>
      </c>
      <c r="F2" s="5" t="n">
        <v>12400</v>
      </c>
      <c r="G2" t="n">
        <v>312</v>
      </c>
      <c r="H2" t="inlineStr">
        <is>
          <t>https://www.instagram.com/yourbrand/</t>
        </is>
      </c>
    </row>
    <row r="3">
      <c r="A3" t="inlineStr">
        <is>
          <t>2026-09-21</t>
        </is>
      </c>
      <c r="B3" t="inlineStr">
        <is>
          <t>instagram</t>
        </is>
      </c>
      <c r="C3" t="inlineStr">
        <is>
          <t>yourbrand</t>
        </is>
      </c>
      <c r="D3" t="inlineStr">
        <is>
          <t>You</t>
        </is>
      </c>
      <c r="E3" t="inlineStr">
        <is>
          <t>main</t>
        </is>
      </c>
      <c r="F3" s="5" t="n">
        <v>12455</v>
      </c>
      <c r="G3" t="n">
        <v>313</v>
      </c>
      <c r="H3" t="inlineStr">
        <is>
          <t>https://www.instagram.com/yourbrand/</t>
        </is>
      </c>
    </row>
    <row r="4">
      <c r="A4" t="inlineStr">
        <is>
          <t>2026-09-22</t>
        </is>
      </c>
      <c r="B4" t="inlineStr">
        <is>
          <t>instagram</t>
        </is>
      </c>
      <c r="C4" t="inlineStr">
        <is>
          <t>yourbrand</t>
        </is>
      </c>
      <c r="D4" t="inlineStr">
        <is>
          <t>You</t>
        </is>
      </c>
      <c r="E4" t="inlineStr">
        <is>
          <t>main</t>
        </is>
      </c>
      <c r="F4" s="5" t="n">
        <v>12510</v>
      </c>
      <c r="G4" t="n">
        <v>314</v>
      </c>
      <c r="H4" t="inlineStr">
        <is>
          <t>https://www.instagram.com/yourbrand/</t>
        </is>
      </c>
    </row>
    <row r="5">
      <c r="A5" t="inlineStr">
        <is>
          <t>2026-09-20</t>
        </is>
      </c>
      <c r="B5" t="inlineStr">
        <is>
          <t>tiktok</t>
        </is>
      </c>
      <c r="C5" t="inlineStr">
        <is>
          <t>yourbrand</t>
        </is>
      </c>
      <c r="D5" t="inlineStr">
        <is>
          <t>You</t>
        </is>
      </c>
      <c r="E5" t="inlineStr">
        <is>
          <t>main</t>
        </is>
      </c>
      <c r="F5" s="5" t="n">
        <v>45200</v>
      </c>
      <c r="G5" t="n">
        <v>120</v>
      </c>
      <c r="H5" t="inlineStr">
        <is>
          <t>https://www.tiktok.com/@yourbrand</t>
        </is>
      </c>
    </row>
    <row r="6">
      <c r="A6" t="inlineStr">
        <is>
          <t>2026-09-21</t>
        </is>
      </c>
      <c r="B6" t="inlineStr">
        <is>
          <t>tiktok</t>
        </is>
      </c>
      <c r="C6" t="inlineStr">
        <is>
          <t>yourbrand</t>
        </is>
      </c>
      <c r="D6" t="inlineStr">
        <is>
          <t>You</t>
        </is>
      </c>
      <c r="E6" t="inlineStr">
        <is>
          <t>main</t>
        </is>
      </c>
      <c r="F6" s="5" t="n">
        <v>45120</v>
      </c>
      <c r="G6" t="n">
        <v>120</v>
      </c>
      <c r="H6" t="inlineStr">
        <is>
          <t>https://www.tiktok.com/@yourbrand</t>
        </is>
      </c>
    </row>
    <row r="7">
      <c r="A7" t="inlineStr">
        <is>
          <t>2026-09-22</t>
        </is>
      </c>
      <c r="B7" t="inlineStr">
        <is>
          <t>tiktok</t>
        </is>
      </c>
      <c r="C7" t="inlineStr">
        <is>
          <t>yourbrand</t>
        </is>
      </c>
      <c r="D7" t="inlineStr">
        <is>
          <t>You</t>
        </is>
      </c>
      <c r="E7" t="inlineStr">
        <is>
          <t>main</t>
        </is>
      </c>
      <c r="F7" s="5" t="n">
        <v>45210</v>
      </c>
      <c r="G7" t="n">
        <v>121</v>
      </c>
      <c r="H7" t="inlineStr">
        <is>
          <t>https://www.tiktok.com/@yourbrand</t>
        </is>
      </c>
    </row>
    <row r="8">
      <c r="A8" t="inlineStr">
        <is>
          <t>2026-09-21</t>
        </is>
      </c>
      <c r="B8" t="inlineStr">
        <is>
          <t>tiktok</t>
        </is>
      </c>
      <c r="C8" t="inlineStr">
        <is>
          <t>competitor1</t>
        </is>
      </c>
      <c r="D8" t="inlineStr">
        <is>
          <t>Competitor 1</t>
        </is>
      </c>
      <c r="E8" t="inlineStr">
        <is>
          <t>main</t>
        </is>
      </c>
      <c r="F8" s="5" t="n">
        <v>8100</v>
      </c>
      <c r="G8" t="n">
        <v>88</v>
      </c>
      <c r="H8" t="inlineStr">
        <is>
          <t>https://www.tiktok.com/@competitor1</t>
        </is>
      </c>
    </row>
    <row r="9">
      <c r="A9" t="inlineStr">
        <is>
          <t>2026-09-22</t>
        </is>
      </c>
      <c r="B9" t="inlineStr">
        <is>
          <t>tiktok</t>
        </is>
      </c>
      <c r="C9" t="inlineStr">
        <is>
          <t>competitor1</t>
        </is>
      </c>
      <c r="D9" t="inlineStr">
        <is>
          <t>Competitor 1</t>
        </is>
      </c>
      <c r="E9" t="inlineStr">
        <is>
          <t>main</t>
        </is>
      </c>
      <c r="F9" s="5" t="n">
        <v>8090</v>
      </c>
      <c r="G9" t="n">
        <v>88</v>
      </c>
      <c r="H9" t="inlineStr">
        <is>
          <t>https://www.tiktok.com/@competitor1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14" customWidth="1" min="4" max="4"/>
    <col width="13" customWidth="1" min="5" max="5"/>
    <col width="46" customWidth="1" min="6" max="6"/>
  </cols>
  <sheetData>
    <row r="1">
      <c r="A1" s="4" t="inlineStr">
        <is>
          <t>date</t>
        </is>
      </c>
      <c r="B1" s="4" t="inlineStr">
        <is>
          <t>platform</t>
        </is>
      </c>
      <c r="C1" s="4" t="inlineStr">
        <is>
          <t>username</t>
        </is>
      </c>
      <c r="D1" s="4" t="inlineStr">
        <is>
          <t>brand</t>
        </is>
      </c>
      <c r="E1" s="4" t="inlineStr">
        <is>
          <t>account_label</t>
        </is>
      </c>
      <c r="F1" s="4" t="inlineStr">
        <is>
          <t>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22" customWidth="1" min="4" max="4"/>
    <col width="12" customWidth="1" min="5" max="5"/>
    <col width="13" customWidth="1" min="6" max="6"/>
    <col width="18" customWidth="1" min="7" max="7"/>
  </cols>
  <sheetData>
    <row r="1">
      <c r="A1" s="4" t="inlineStr">
        <is>
          <t>brand</t>
        </is>
      </c>
      <c r="B1" s="4" t="inlineStr">
        <is>
          <t>account_label</t>
        </is>
      </c>
      <c r="C1" s="4" t="inlineStr">
        <is>
          <t>platform</t>
        </is>
      </c>
      <c r="D1" s="4" t="inlineStr">
        <is>
          <t>username</t>
        </is>
      </c>
      <c r="E1" s="4" t="inlineStr">
        <is>
          <t>last_record</t>
        </is>
      </c>
      <c r="F1" s="4" t="inlineStr">
        <is>
          <t>days_missing</t>
        </is>
      </c>
      <c r="G1" s="4" t="inlineStr">
        <is>
          <t>status</t>
        </is>
      </c>
    </row>
  </sheetData>
  <conditionalFormatting sqref="G2:G200">
    <cfRule type="expression" priority="1" dxfId="2">
      <formula>AND($G2&lt;&gt;"",$G2&lt;&gt;"ok")</formula>
    </cfRule>
    <cfRule type="expression" priority="2" dxfId="3">
      <formula>$G2="ok"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14" customWidth="1" min="4" max="4"/>
    <col width="13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</cols>
  <sheetData>
    <row r="1">
      <c r="A1" s="4" t="inlineStr">
        <is>
          <t>month</t>
        </is>
      </c>
      <c r="B1" s="4" t="inlineStr">
        <is>
          <t>platform</t>
        </is>
      </c>
      <c r="C1" s="4" t="inlineStr">
        <is>
          <t>username</t>
        </is>
      </c>
      <c r="D1" s="4" t="inlineStr">
        <is>
          <t>brand</t>
        </is>
      </c>
      <c r="E1" s="4" t="inlineStr">
        <is>
          <t>account_label</t>
        </is>
      </c>
      <c r="F1" s="4" t="inlineStr">
        <is>
          <t>first</t>
        </is>
      </c>
      <c r="G1" s="4" t="inlineStr">
        <is>
          <t>last</t>
        </is>
      </c>
      <c r="H1" s="4" t="inlineStr">
        <is>
          <t>growth</t>
        </is>
      </c>
      <c r="I1" s="4" t="inlineStr">
        <is>
          <t>avg_daily</t>
        </is>
      </c>
      <c r="J1" s="4" t="inlineStr">
        <is>
          <t>growth_pct</t>
        </is>
      </c>
    </row>
    <row r="2">
      <c r="F2" s="5" t="n"/>
      <c r="G2" s="5" t="n"/>
      <c r="H2" s="5" t="n"/>
      <c r="I2" s="5" t="n"/>
    </row>
    <row r="3">
      <c r="F3" s="5" t="n"/>
      <c r="G3" s="5" t="n"/>
      <c r="H3" s="5" t="n"/>
      <c r="I3" s="5" t="n"/>
    </row>
    <row r="4">
      <c r="F4" s="5" t="n"/>
      <c r="G4" s="5" t="n"/>
      <c r="H4" s="5" t="n"/>
      <c r="I4" s="5" t="n"/>
    </row>
    <row r="5">
      <c r="F5" s="5" t="n"/>
      <c r="G5" s="5" t="n"/>
      <c r="H5" s="5" t="n"/>
      <c r="I5" s="5" t="n"/>
    </row>
    <row r="6">
      <c r="F6" s="5" t="n"/>
      <c r="G6" s="5" t="n"/>
      <c r="H6" s="5" t="n"/>
      <c r="I6" s="5" t="n"/>
    </row>
    <row r="7">
      <c r="F7" s="5" t="n"/>
      <c r="G7" s="5" t="n"/>
      <c r="H7" s="5" t="n"/>
      <c r="I7" s="5" t="n"/>
    </row>
    <row r="8">
      <c r="F8" s="5" t="n"/>
      <c r="G8" s="5" t="n"/>
      <c r="H8" s="5" t="n"/>
      <c r="I8" s="5" t="n"/>
    </row>
    <row r="9">
      <c r="F9" s="5" t="n"/>
      <c r="G9" s="5" t="n"/>
      <c r="H9" s="5" t="n"/>
      <c r="I9" s="5" t="n"/>
    </row>
    <row r="10">
      <c r="F10" s="5" t="n"/>
      <c r="G10" s="5" t="n"/>
      <c r="H10" s="5" t="n"/>
      <c r="I10" s="5" t="n"/>
    </row>
    <row r="11">
      <c r="F11" s="5" t="n"/>
      <c r="G11" s="5" t="n"/>
      <c r="H11" s="5" t="n"/>
      <c r="I11" s="5" t="n"/>
    </row>
    <row r="12">
      <c r="F12" s="5" t="n"/>
      <c r="G12" s="5" t="n"/>
      <c r="H12" s="5" t="n"/>
      <c r="I12" s="5" t="n"/>
    </row>
    <row r="13">
      <c r="F13" s="5" t="n"/>
      <c r="G13" s="5" t="n"/>
      <c r="H13" s="5" t="n"/>
      <c r="I13" s="5" t="n"/>
    </row>
    <row r="14">
      <c r="F14" s="5" t="n"/>
      <c r="G14" s="5" t="n"/>
      <c r="H14" s="5" t="n"/>
      <c r="I14" s="5" t="n"/>
    </row>
    <row r="15">
      <c r="F15" s="5" t="n"/>
      <c r="G15" s="5" t="n"/>
      <c r="H15" s="5" t="n"/>
      <c r="I15" s="5" t="n"/>
    </row>
    <row r="16">
      <c r="F16" s="5" t="n"/>
      <c r="G16" s="5" t="n"/>
      <c r="H16" s="5" t="n"/>
      <c r="I16" s="5" t="n"/>
    </row>
    <row r="17">
      <c r="F17" s="5" t="n"/>
      <c r="G17" s="5" t="n"/>
      <c r="H17" s="5" t="n"/>
      <c r="I17" s="5" t="n"/>
    </row>
    <row r="18">
      <c r="F18" s="5" t="n"/>
      <c r="G18" s="5" t="n"/>
      <c r="H18" s="5" t="n"/>
      <c r="I18" s="5" t="n"/>
    </row>
    <row r="19">
      <c r="F19" s="5" t="n"/>
      <c r="G19" s="5" t="n"/>
      <c r="H19" s="5" t="n"/>
      <c r="I19" s="5" t="n"/>
    </row>
    <row r="20">
      <c r="F20" s="5" t="n"/>
      <c r="G20" s="5" t="n"/>
      <c r="H20" s="5" t="n"/>
      <c r="I20" s="5" t="n"/>
    </row>
    <row r="21">
      <c r="F21" s="5" t="n"/>
      <c r="G21" s="5" t="n"/>
      <c r="H21" s="5" t="n"/>
      <c r="I21" s="5" t="n"/>
    </row>
    <row r="22">
      <c r="F22" s="5" t="n"/>
      <c r="G22" s="5" t="n"/>
      <c r="H22" s="5" t="n"/>
      <c r="I22" s="5" t="n"/>
    </row>
    <row r="23">
      <c r="F23" s="5" t="n"/>
      <c r="G23" s="5" t="n"/>
      <c r="H23" s="5" t="n"/>
      <c r="I23" s="5" t="n"/>
    </row>
    <row r="24">
      <c r="F24" s="5" t="n"/>
      <c r="G24" s="5" t="n"/>
      <c r="H24" s="5" t="n"/>
      <c r="I24" s="5" t="n"/>
    </row>
    <row r="25">
      <c r="F25" s="5" t="n"/>
      <c r="G25" s="5" t="n"/>
      <c r="H25" s="5" t="n"/>
      <c r="I25" s="5" t="n"/>
    </row>
    <row r="26">
      <c r="F26" s="5" t="n"/>
      <c r="G26" s="5" t="n"/>
      <c r="H26" s="5" t="n"/>
      <c r="I26" s="5" t="n"/>
    </row>
    <row r="27">
      <c r="F27" s="5" t="n"/>
      <c r="G27" s="5" t="n"/>
      <c r="H27" s="5" t="n"/>
      <c r="I27" s="5" t="n"/>
    </row>
    <row r="28">
      <c r="F28" s="5" t="n"/>
      <c r="G28" s="5" t="n"/>
      <c r="H28" s="5" t="n"/>
      <c r="I28" s="5" t="n"/>
    </row>
    <row r="29">
      <c r="F29" s="5" t="n"/>
      <c r="G29" s="5" t="n"/>
      <c r="H29" s="5" t="n"/>
      <c r="I29" s="5" t="n"/>
    </row>
    <row r="30">
      <c r="F30" s="5" t="n"/>
      <c r="G30" s="5" t="n"/>
      <c r="H30" s="5" t="n"/>
      <c r="I30" s="5" t="n"/>
    </row>
    <row r="31">
      <c r="F31" s="5" t="n"/>
      <c r="G31" s="5" t="n"/>
      <c r="H31" s="5" t="n"/>
      <c r="I31" s="5" t="n"/>
    </row>
    <row r="32">
      <c r="F32" s="5" t="n"/>
      <c r="G32" s="5" t="n"/>
      <c r="H32" s="5" t="n"/>
      <c r="I32" s="5" t="n"/>
    </row>
    <row r="33">
      <c r="F33" s="5" t="n"/>
      <c r="G33" s="5" t="n"/>
      <c r="H33" s="5" t="n"/>
      <c r="I33" s="5" t="n"/>
    </row>
    <row r="34">
      <c r="F34" s="5" t="n"/>
      <c r="G34" s="5" t="n"/>
      <c r="H34" s="5" t="n"/>
      <c r="I34" s="5" t="n"/>
    </row>
    <row r="35">
      <c r="F35" s="5" t="n"/>
      <c r="G35" s="5" t="n"/>
      <c r="H35" s="5" t="n"/>
      <c r="I35" s="5" t="n"/>
    </row>
    <row r="36">
      <c r="F36" s="5" t="n"/>
      <c r="G36" s="5" t="n"/>
      <c r="H36" s="5" t="n"/>
      <c r="I36" s="5" t="n"/>
    </row>
    <row r="37">
      <c r="F37" s="5" t="n"/>
      <c r="G37" s="5" t="n"/>
      <c r="H37" s="5" t="n"/>
      <c r="I37" s="5" t="n"/>
    </row>
    <row r="38">
      <c r="F38" s="5" t="n"/>
      <c r="G38" s="5" t="n"/>
      <c r="H38" s="5" t="n"/>
      <c r="I38" s="5" t="n"/>
    </row>
    <row r="39">
      <c r="F39" s="5" t="n"/>
      <c r="G39" s="5" t="n"/>
      <c r="H39" s="5" t="n"/>
      <c r="I39" s="5" t="n"/>
    </row>
    <row r="40">
      <c r="F40" s="5" t="n"/>
      <c r="G40" s="5" t="n"/>
      <c r="H40" s="5" t="n"/>
      <c r="I40" s="5" t="n"/>
    </row>
    <row r="41">
      <c r="F41" s="5" t="n"/>
      <c r="G41" s="5" t="n"/>
      <c r="H41" s="5" t="n"/>
      <c r="I41" s="5" t="n"/>
    </row>
    <row r="42">
      <c r="F42" s="5" t="n"/>
      <c r="G42" s="5" t="n"/>
      <c r="H42" s="5" t="n"/>
      <c r="I42" s="5" t="n"/>
    </row>
    <row r="43">
      <c r="F43" s="5" t="n"/>
      <c r="G43" s="5" t="n"/>
      <c r="H43" s="5" t="n"/>
      <c r="I43" s="5" t="n"/>
    </row>
    <row r="44">
      <c r="F44" s="5" t="n"/>
      <c r="G44" s="5" t="n"/>
      <c r="H44" s="5" t="n"/>
      <c r="I44" s="5" t="n"/>
    </row>
    <row r="45">
      <c r="F45" s="5" t="n"/>
      <c r="G45" s="5" t="n"/>
      <c r="H45" s="5" t="n"/>
      <c r="I45" s="5" t="n"/>
    </row>
    <row r="46">
      <c r="F46" s="5" t="n"/>
      <c r="G46" s="5" t="n"/>
      <c r="H46" s="5" t="n"/>
      <c r="I46" s="5" t="n"/>
    </row>
    <row r="47">
      <c r="F47" s="5" t="n"/>
      <c r="G47" s="5" t="n"/>
      <c r="H47" s="5" t="n"/>
      <c r="I47" s="5" t="n"/>
    </row>
    <row r="48">
      <c r="F48" s="5" t="n"/>
      <c r="G48" s="5" t="n"/>
      <c r="H48" s="5" t="n"/>
      <c r="I48" s="5" t="n"/>
    </row>
    <row r="49">
      <c r="F49" s="5" t="n"/>
      <c r="G49" s="5" t="n"/>
      <c r="H49" s="5" t="n"/>
      <c r="I49" s="5" t="n"/>
    </row>
    <row r="50">
      <c r="F50" s="5" t="n"/>
      <c r="G50" s="5" t="n"/>
      <c r="H50" s="5" t="n"/>
      <c r="I50" s="5" t="n"/>
    </row>
    <row r="51">
      <c r="F51" s="5" t="n"/>
      <c r="G51" s="5" t="n"/>
      <c r="H51" s="5" t="n"/>
      <c r="I51" s="5" t="n"/>
    </row>
    <row r="52">
      <c r="F52" s="5" t="n"/>
      <c r="G52" s="5" t="n"/>
      <c r="H52" s="5" t="n"/>
      <c r="I52" s="5" t="n"/>
    </row>
    <row r="53">
      <c r="F53" s="5" t="n"/>
      <c r="G53" s="5" t="n"/>
      <c r="H53" s="5" t="n"/>
      <c r="I53" s="5" t="n"/>
    </row>
    <row r="54">
      <c r="F54" s="5" t="n"/>
      <c r="G54" s="5" t="n"/>
      <c r="H54" s="5" t="n"/>
      <c r="I54" s="5" t="n"/>
    </row>
    <row r="55">
      <c r="F55" s="5" t="n"/>
      <c r="G55" s="5" t="n"/>
      <c r="H55" s="5" t="n"/>
      <c r="I55" s="5" t="n"/>
    </row>
    <row r="56">
      <c r="F56" s="5" t="n"/>
      <c r="G56" s="5" t="n"/>
      <c r="H56" s="5" t="n"/>
      <c r="I56" s="5" t="n"/>
    </row>
    <row r="57">
      <c r="F57" s="5" t="n"/>
      <c r="G57" s="5" t="n"/>
      <c r="H57" s="5" t="n"/>
      <c r="I57" s="5" t="n"/>
    </row>
    <row r="58">
      <c r="F58" s="5" t="n"/>
      <c r="G58" s="5" t="n"/>
      <c r="H58" s="5" t="n"/>
      <c r="I58" s="5" t="n"/>
    </row>
    <row r="59">
      <c r="F59" s="5" t="n"/>
      <c r="G59" s="5" t="n"/>
      <c r="H59" s="5" t="n"/>
      <c r="I59" s="5" t="n"/>
    </row>
    <row r="60">
      <c r="F60" s="5" t="n"/>
      <c r="G60" s="5" t="n"/>
      <c r="H60" s="5" t="n"/>
      <c r="I60" s="5" t="n"/>
    </row>
    <row r="61">
      <c r="F61" s="5" t="n"/>
      <c r="G61" s="5" t="n"/>
      <c r="H61" s="5" t="n"/>
      <c r="I61" s="5" t="n"/>
    </row>
    <row r="62">
      <c r="F62" s="5" t="n"/>
      <c r="G62" s="5" t="n"/>
      <c r="H62" s="5" t="n"/>
      <c r="I62" s="5" t="n"/>
    </row>
    <row r="63">
      <c r="F63" s="5" t="n"/>
      <c r="G63" s="5" t="n"/>
      <c r="H63" s="5" t="n"/>
      <c r="I63" s="5" t="n"/>
    </row>
    <row r="64">
      <c r="F64" s="5" t="n"/>
      <c r="G64" s="5" t="n"/>
      <c r="H64" s="5" t="n"/>
      <c r="I64" s="5" t="n"/>
    </row>
    <row r="65">
      <c r="F65" s="5" t="n"/>
      <c r="G65" s="5" t="n"/>
      <c r="H65" s="5" t="n"/>
      <c r="I65" s="5" t="n"/>
    </row>
    <row r="66">
      <c r="F66" s="5" t="n"/>
      <c r="G66" s="5" t="n"/>
      <c r="H66" s="5" t="n"/>
      <c r="I66" s="5" t="n"/>
    </row>
    <row r="67">
      <c r="F67" s="5" t="n"/>
      <c r="G67" s="5" t="n"/>
      <c r="H67" s="5" t="n"/>
      <c r="I67" s="5" t="n"/>
    </row>
    <row r="68">
      <c r="F68" s="5" t="n"/>
      <c r="G68" s="5" t="n"/>
      <c r="H68" s="5" t="n"/>
      <c r="I68" s="5" t="n"/>
    </row>
    <row r="69">
      <c r="F69" s="5" t="n"/>
      <c r="G69" s="5" t="n"/>
      <c r="H69" s="5" t="n"/>
      <c r="I69" s="5" t="n"/>
    </row>
    <row r="70">
      <c r="F70" s="5" t="n"/>
      <c r="G70" s="5" t="n"/>
      <c r="H70" s="5" t="n"/>
      <c r="I70" s="5" t="n"/>
    </row>
    <row r="71">
      <c r="F71" s="5" t="n"/>
      <c r="G71" s="5" t="n"/>
      <c r="H71" s="5" t="n"/>
      <c r="I71" s="5" t="n"/>
    </row>
    <row r="72">
      <c r="F72" s="5" t="n"/>
      <c r="G72" s="5" t="n"/>
      <c r="H72" s="5" t="n"/>
      <c r="I72" s="5" t="n"/>
    </row>
    <row r="73">
      <c r="F73" s="5" t="n"/>
      <c r="G73" s="5" t="n"/>
      <c r="H73" s="5" t="n"/>
      <c r="I73" s="5" t="n"/>
    </row>
    <row r="74">
      <c r="F74" s="5" t="n"/>
      <c r="G74" s="5" t="n"/>
      <c r="H74" s="5" t="n"/>
      <c r="I74" s="5" t="n"/>
    </row>
    <row r="75">
      <c r="F75" s="5" t="n"/>
      <c r="G75" s="5" t="n"/>
      <c r="H75" s="5" t="n"/>
      <c r="I75" s="5" t="n"/>
    </row>
    <row r="76">
      <c r="F76" s="5" t="n"/>
      <c r="G76" s="5" t="n"/>
      <c r="H76" s="5" t="n"/>
      <c r="I76" s="5" t="n"/>
    </row>
    <row r="77">
      <c r="F77" s="5" t="n"/>
      <c r="G77" s="5" t="n"/>
      <c r="H77" s="5" t="n"/>
      <c r="I77" s="5" t="n"/>
    </row>
    <row r="78">
      <c r="F78" s="5" t="n"/>
      <c r="G78" s="5" t="n"/>
      <c r="H78" s="5" t="n"/>
      <c r="I78" s="5" t="n"/>
    </row>
    <row r="79">
      <c r="F79" s="5" t="n"/>
      <c r="G79" s="5" t="n"/>
      <c r="H79" s="5" t="n"/>
      <c r="I79" s="5" t="n"/>
    </row>
    <row r="80">
      <c r="F80" s="5" t="n"/>
      <c r="G80" s="5" t="n"/>
      <c r="H80" s="5" t="n"/>
      <c r="I80" s="5" t="n"/>
    </row>
    <row r="81">
      <c r="F81" s="5" t="n"/>
      <c r="G81" s="5" t="n"/>
      <c r="H81" s="5" t="n"/>
      <c r="I81" s="5" t="n"/>
    </row>
    <row r="82">
      <c r="F82" s="5" t="n"/>
      <c r="G82" s="5" t="n"/>
      <c r="H82" s="5" t="n"/>
      <c r="I82" s="5" t="n"/>
    </row>
    <row r="83">
      <c r="F83" s="5" t="n"/>
      <c r="G83" s="5" t="n"/>
      <c r="H83" s="5" t="n"/>
      <c r="I83" s="5" t="n"/>
    </row>
    <row r="84">
      <c r="F84" s="5" t="n"/>
      <c r="G84" s="5" t="n"/>
      <c r="H84" s="5" t="n"/>
      <c r="I84" s="5" t="n"/>
    </row>
    <row r="85">
      <c r="F85" s="5" t="n"/>
      <c r="G85" s="5" t="n"/>
      <c r="H85" s="5" t="n"/>
      <c r="I85" s="5" t="n"/>
    </row>
    <row r="86">
      <c r="F86" s="5" t="n"/>
      <c r="G86" s="5" t="n"/>
      <c r="H86" s="5" t="n"/>
      <c r="I86" s="5" t="n"/>
    </row>
    <row r="87">
      <c r="F87" s="5" t="n"/>
      <c r="G87" s="5" t="n"/>
      <c r="H87" s="5" t="n"/>
      <c r="I87" s="5" t="n"/>
    </row>
    <row r="88">
      <c r="F88" s="5" t="n"/>
      <c r="G88" s="5" t="n"/>
      <c r="H88" s="5" t="n"/>
      <c r="I88" s="5" t="n"/>
    </row>
    <row r="89">
      <c r="F89" s="5" t="n"/>
      <c r="G89" s="5" t="n"/>
      <c r="H89" s="5" t="n"/>
      <c r="I89" s="5" t="n"/>
    </row>
    <row r="90">
      <c r="F90" s="5" t="n"/>
      <c r="G90" s="5" t="n"/>
      <c r="H90" s="5" t="n"/>
      <c r="I90" s="5" t="n"/>
    </row>
    <row r="91">
      <c r="F91" s="5" t="n"/>
      <c r="G91" s="5" t="n"/>
      <c r="H91" s="5" t="n"/>
      <c r="I91" s="5" t="n"/>
    </row>
    <row r="92">
      <c r="F92" s="5" t="n"/>
      <c r="G92" s="5" t="n"/>
      <c r="H92" s="5" t="n"/>
      <c r="I92" s="5" t="n"/>
    </row>
    <row r="93">
      <c r="F93" s="5" t="n"/>
      <c r="G93" s="5" t="n"/>
      <c r="H93" s="5" t="n"/>
      <c r="I93" s="5" t="n"/>
    </row>
    <row r="94">
      <c r="F94" s="5" t="n"/>
      <c r="G94" s="5" t="n"/>
      <c r="H94" s="5" t="n"/>
      <c r="I94" s="5" t="n"/>
    </row>
    <row r="95">
      <c r="F95" s="5" t="n"/>
      <c r="G95" s="5" t="n"/>
      <c r="H95" s="5" t="n"/>
      <c r="I95" s="5" t="n"/>
    </row>
    <row r="96">
      <c r="F96" s="5" t="n"/>
      <c r="G96" s="5" t="n"/>
      <c r="H96" s="5" t="n"/>
      <c r="I96" s="5" t="n"/>
    </row>
    <row r="97">
      <c r="F97" s="5" t="n"/>
      <c r="G97" s="5" t="n"/>
      <c r="H97" s="5" t="n"/>
      <c r="I97" s="5" t="n"/>
    </row>
    <row r="98">
      <c r="F98" s="5" t="n"/>
      <c r="G98" s="5" t="n"/>
      <c r="H98" s="5" t="n"/>
      <c r="I98" s="5" t="n"/>
    </row>
    <row r="99">
      <c r="F99" s="5" t="n"/>
      <c r="G99" s="5" t="n"/>
      <c r="H99" s="5" t="n"/>
      <c r="I9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2026-09-22T20:02:24Z</dcterms:created>
  <dcterms:modified xmlns:dcterms="http://purl.org/dc/terms/" xmlns:xsi="http://www.w3.org/2001/XMLSchema-instance" xsi:type="dcterms:W3CDTF">2026-09-22T20:02:24Z</dcterms:modified>
</cp:coreProperties>
</file>